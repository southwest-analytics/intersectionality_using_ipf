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"/>
    </mc:Choice>
  </mc:AlternateContent>
  <xr:revisionPtr revIDLastSave="763" documentId="8_{AE471570-494B-40B5-9A38-97E04E6D8C28}" xr6:coauthVersionLast="47" xr6:coauthVersionMax="47" xr10:uidLastSave="{EB2C7FC0-8C63-4677-9CC7-8E04B923C87C}"/>
  <bookViews>
    <workbookView xWindow="-165" yWindow="-165" windowWidth="29130" windowHeight="15810" firstSheet="1" activeTab="6" xr2:uid="{A382B6CF-8A7A-417A-BA38-208CCD2D4FE9}"/>
  </bookViews>
  <sheets>
    <sheet name="Marginals" sheetId="1" r:id="rId1"/>
    <sheet name="Constraints" sheetId="2" r:id="rId2"/>
    <sheet name="National Fitting" sheetId="3" r:id="rId3"/>
    <sheet name="Local Fitting A" sheetId="4" r:id="rId4"/>
    <sheet name="Local Fitting B" sheetId="5" r:id="rId5"/>
    <sheet name="Local Fitting C" sheetId="6" r:id="rId6"/>
    <sheet name="Final" sheetId="7" r:id="rId7"/>
  </sheets>
  <calcPr calcId="191029"/>
  <pivotCaches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6" i="7" l="1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B36" i="6"/>
  <c r="B35" i="6"/>
  <c r="B34" i="6"/>
  <c r="B30" i="6"/>
  <c r="B29" i="6"/>
  <c r="B28" i="6"/>
  <c r="B24" i="6"/>
  <c r="B23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B36" i="5"/>
  <c r="B35" i="5"/>
  <c r="B34" i="5"/>
  <c r="B30" i="5"/>
  <c r="B29" i="5"/>
  <c r="B28" i="5"/>
  <c r="B24" i="5"/>
  <c r="B23" i="5"/>
  <c r="C23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R39" i="4"/>
  <c r="Q36" i="4"/>
  <c r="Q35" i="4"/>
  <c r="Q34" i="4"/>
  <c r="R34" i="4" s="1"/>
  <c r="R36" i="4"/>
  <c r="R35" i="4"/>
  <c r="Q30" i="4"/>
  <c r="Q29" i="4"/>
  <c r="Q28" i="4"/>
  <c r="R28" i="4" s="1"/>
  <c r="R30" i="4"/>
  <c r="R29" i="4"/>
  <c r="Q24" i="4"/>
  <c r="Q23" i="4"/>
  <c r="R24" i="4"/>
  <c r="R23" i="4"/>
  <c r="R25" i="4" s="1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O36" i="4"/>
  <c r="O35" i="4"/>
  <c r="O34" i="4"/>
  <c r="P34" i="4" s="1"/>
  <c r="P36" i="4"/>
  <c r="P35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0" i="4"/>
  <c r="O29" i="4"/>
  <c r="O28" i="4"/>
  <c r="P28" i="4" s="1"/>
  <c r="P30" i="4"/>
  <c r="P29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O24" i="4"/>
  <c r="P24" i="4" s="1"/>
  <c r="O23" i="4"/>
  <c r="P23" i="4" s="1"/>
  <c r="N39" i="4"/>
  <c r="E36" i="4"/>
  <c r="E35" i="4"/>
  <c r="M36" i="4"/>
  <c r="M35" i="4"/>
  <c r="N35" i="4" s="1"/>
  <c r="M34" i="4"/>
  <c r="N36" i="4"/>
  <c r="N34" i="4"/>
  <c r="M30" i="4"/>
  <c r="N30" i="4" s="1"/>
  <c r="M29" i="4"/>
  <c r="N29" i="4" s="1"/>
  <c r="M28" i="4"/>
  <c r="N28" i="4"/>
  <c r="M24" i="4"/>
  <c r="N24" i="4" s="1"/>
  <c r="M23" i="4"/>
  <c r="N23" i="4" s="1"/>
  <c r="J37" i="4"/>
  <c r="J36" i="4"/>
  <c r="J35" i="4"/>
  <c r="J34" i="4"/>
  <c r="J30" i="4"/>
  <c r="J29" i="4"/>
  <c r="J28" i="4"/>
  <c r="J31" i="4" s="1"/>
  <c r="J24" i="4"/>
  <c r="J23" i="4"/>
  <c r="J25" i="4" s="1"/>
  <c r="F36" i="4"/>
  <c r="F35" i="4"/>
  <c r="F34" i="4"/>
  <c r="F30" i="4"/>
  <c r="F29" i="4"/>
  <c r="F28" i="4"/>
  <c r="F24" i="4"/>
  <c r="F25" i="4" s="1"/>
  <c r="F23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K36" i="4"/>
  <c r="L36" i="4" s="1"/>
  <c r="K35" i="4"/>
  <c r="K34" i="4"/>
  <c r="L35" i="4"/>
  <c r="L34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K30" i="4"/>
  <c r="K29" i="4"/>
  <c r="K28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L30" i="4"/>
  <c r="L29" i="4"/>
  <c r="L28" i="4"/>
  <c r="K24" i="4"/>
  <c r="L24" i="4" s="1"/>
  <c r="K23" i="4"/>
  <c r="L23" i="4" s="1"/>
  <c r="I36" i="4"/>
  <c r="I35" i="4"/>
  <c r="I34" i="4"/>
  <c r="I30" i="4"/>
  <c r="I29" i="4"/>
  <c r="I28" i="4"/>
  <c r="I24" i="4"/>
  <c r="I23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G36" i="4"/>
  <c r="G35" i="4"/>
  <c r="G34" i="4"/>
  <c r="H36" i="4"/>
  <c r="H35" i="4"/>
  <c r="H34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G30" i="4"/>
  <c r="G29" i="4"/>
  <c r="G28" i="4"/>
  <c r="H28" i="4" s="1"/>
  <c r="H30" i="4"/>
  <c r="H29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24" i="4"/>
  <c r="G23" i="4"/>
  <c r="H23" i="4" s="1"/>
  <c r="H24" i="4"/>
  <c r="F31" i="4"/>
  <c r="E34" i="4"/>
  <c r="E30" i="4"/>
  <c r="E29" i="4"/>
  <c r="E28" i="4"/>
  <c r="E24" i="4"/>
  <c r="E23" i="4"/>
  <c r="C24" i="4"/>
  <c r="D24" i="4" s="1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B36" i="4"/>
  <c r="B35" i="4"/>
  <c r="B34" i="4"/>
  <c r="B30" i="4"/>
  <c r="B29" i="4"/>
  <c r="B24" i="4"/>
  <c r="B23" i="4"/>
  <c r="B28" i="4"/>
  <c r="O65" i="3"/>
  <c r="N62" i="3"/>
  <c r="O62" i="3" s="1"/>
  <c r="N61" i="3"/>
  <c r="O61" i="3" s="1"/>
  <c r="N60" i="3"/>
  <c r="O60" i="3" s="1"/>
  <c r="N59" i="3"/>
  <c r="N58" i="3"/>
  <c r="N57" i="3"/>
  <c r="N56" i="3"/>
  <c r="N55" i="3"/>
  <c r="N54" i="3"/>
  <c r="O59" i="3"/>
  <c r="O58" i="3"/>
  <c r="O57" i="3"/>
  <c r="O56" i="3"/>
  <c r="O55" i="3"/>
  <c r="O54" i="3"/>
  <c r="O63" i="3" s="1"/>
  <c r="N50" i="3"/>
  <c r="N49" i="3"/>
  <c r="N48" i="3"/>
  <c r="N47" i="3"/>
  <c r="N46" i="3"/>
  <c r="N45" i="3"/>
  <c r="O45" i="3" s="1"/>
  <c r="O50" i="3"/>
  <c r="O49" i="3"/>
  <c r="O48" i="3"/>
  <c r="O47" i="3"/>
  <c r="O46" i="3"/>
  <c r="N41" i="3"/>
  <c r="N40" i="3"/>
  <c r="N39" i="3"/>
  <c r="N38" i="3"/>
  <c r="N37" i="3"/>
  <c r="N36" i="3"/>
  <c r="O36" i="3" s="1"/>
  <c r="O41" i="3"/>
  <c r="O40" i="3"/>
  <c r="O39" i="3"/>
  <c r="O38" i="3"/>
  <c r="O37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L62" i="3"/>
  <c r="L61" i="3"/>
  <c r="L60" i="3"/>
  <c r="L59" i="3"/>
  <c r="L58" i="3"/>
  <c r="L57" i="3"/>
  <c r="L56" i="3"/>
  <c r="L55" i="3"/>
  <c r="L54" i="3"/>
  <c r="M54" i="3" s="1"/>
  <c r="M62" i="3"/>
  <c r="M61" i="3"/>
  <c r="M60" i="3"/>
  <c r="M59" i="3"/>
  <c r="M58" i="3"/>
  <c r="M57" i="3"/>
  <c r="M56" i="3"/>
  <c r="M55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L41" i="3"/>
  <c r="L40" i="3"/>
  <c r="M40" i="3" s="1"/>
  <c r="L39" i="3"/>
  <c r="M39" i="3" s="1"/>
  <c r="L38" i="3"/>
  <c r="L37" i="3"/>
  <c r="L36" i="3"/>
  <c r="M36" i="3" s="1"/>
  <c r="M41" i="3"/>
  <c r="M38" i="3"/>
  <c r="M37" i="3"/>
  <c r="I62" i="3"/>
  <c r="I61" i="3"/>
  <c r="I60" i="3"/>
  <c r="I59" i="3"/>
  <c r="I58" i="3"/>
  <c r="I57" i="3"/>
  <c r="I56" i="3"/>
  <c r="I55" i="3"/>
  <c r="I54" i="3"/>
  <c r="I50" i="3"/>
  <c r="I49" i="3"/>
  <c r="I48" i="3"/>
  <c r="I47" i="3"/>
  <c r="I46" i="3"/>
  <c r="I45" i="3"/>
  <c r="I41" i="3"/>
  <c r="I40" i="3"/>
  <c r="I39" i="3"/>
  <c r="I38" i="3"/>
  <c r="I37" i="3"/>
  <c r="I36" i="3"/>
  <c r="H41" i="3"/>
  <c r="H40" i="3"/>
  <c r="H39" i="3"/>
  <c r="H38" i="3"/>
  <c r="H37" i="3"/>
  <c r="H36" i="3"/>
  <c r="G62" i="3"/>
  <c r="G61" i="3"/>
  <c r="G60" i="3"/>
  <c r="G59" i="3"/>
  <c r="G58" i="3"/>
  <c r="G57" i="3"/>
  <c r="G56" i="3"/>
  <c r="G55" i="3"/>
  <c r="G54" i="3"/>
  <c r="G50" i="3"/>
  <c r="G49" i="3"/>
  <c r="G48" i="3"/>
  <c r="G47" i="3"/>
  <c r="G46" i="3"/>
  <c r="G45" i="3"/>
  <c r="G41" i="3"/>
  <c r="G40" i="3"/>
  <c r="G39" i="3"/>
  <c r="G38" i="3"/>
  <c r="G37" i="3"/>
  <c r="G36" i="3"/>
  <c r="F62" i="3"/>
  <c r="F61" i="3"/>
  <c r="F60" i="3"/>
  <c r="F59" i="3"/>
  <c r="F58" i="3"/>
  <c r="F57" i="3"/>
  <c r="F56" i="3"/>
  <c r="F55" i="3"/>
  <c r="F54" i="3"/>
  <c r="F50" i="3"/>
  <c r="F49" i="3"/>
  <c r="F48" i="3"/>
  <c r="F47" i="3"/>
  <c r="F46" i="3"/>
  <c r="F45" i="3"/>
  <c r="F41" i="3"/>
  <c r="F40" i="3"/>
  <c r="F39" i="3"/>
  <c r="F38" i="3"/>
  <c r="F37" i="3"/>
  <c r="F36" i="3"/>
  <c r="C62" i="3"/>
  <c r="C61" i="3"/>
  <c r="C60" i="3"/>
  <c r="C59" i="3"/>
  <c r="C58" i="3"/>
  <c r="C57" i="3"/>
  <c r="C56" i="3"/>
  <c r="C55" i="3"/>
  <c r="C54" i="3"/>
  <c r="C50" i="3"/>
  <c r="C49" i="3"/>
  <c r="C48" i="3"/>
  <c r="C47" i="3"/>
  <c r="C46" i="3"/>
  <c r="C45" i="3"/>
  <c r="C41" i="3"/>
  <c r="C40" i="3"/>
  <c r="C39" i="3"/>
  <c r="C38" i="3"/>
  <c r="C37" i="3"/>
  <c r="C36" i="3"/>
  <c r="E36" i="3" s="1"/>
  <c r="H17" i="3" s="1"/>
  <c r="H32" i="3"/>
  <c r="H31" i="3"/>
  <c r="H30" i="3"/>
  <c r="H29" i="3"/>
  <c r="H28" i="3"/>
  <c r="H27" i="3"/>
  <c r="H26" i="3"/>
  <c r="E50" i="3" s="1"/>
  <c r="H25" i="3"/>
  <c r="E49" i="3" s="1"/>
  <c r="E41" i="3"/>
  <c r="E40" i="3"/>
  <c r="E39" i="3"/>
  <c r="H24" i="3" s="1"/>
  <c r="E38" i="3"/>
  <c r="H23" i="3" s="1"/>
  <c r="E37" i="3"/>
  <c r="H20" i="3" s="1"/>
  <c r="D62" i="3"/>
  <c r="D61" i="3"/>
  <c r="D60" i="3"/>
  <c r="D59" i="3"/>
  <c r="D58" i="3"/>
  <c r="D57" i="3"/>
  <c r="D56" i="3"/>
  <c r="D55" i="3"/>
  <c r="D54" i="3"/>
  <c r="D50" i="3"/>
  <c r="D49" i="3"/>
  <c r="D48" i="3"/>
  <c r="D47" i="3"/>
  <c r="D46" i="3"/>
  <c r="D45" i="3"/>
  <c r="D41" i="3"/>
  <c r="D40" i="3"/>
  <c r="D39" i="3"/>
  <c r="D38" i="3"/>
  <c r="D37" i="3"/>
  <c r="D36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M21" i="2"/>
  <c r="M13" i="2"/>
  <c r="L21" i="2"/>
  <c r="K21" i="2"/>
  <c r="J21" i="2"/>
  <c r="L6" i="2"/>
  <c r="K6" i="2"/>
  <c r="J6" i="2"/>
  <c r="M6" i="2" s="1"/>
  <c r="L13" i="2"/>
  <c r="K13" i="2"/>
  <c r="J13" i="2"/>
  <c r="M20" i="2"/>
  <c r="M19" i="2"/>
  <c r="M18" i="2"/>
  <c r="M12" i="2"/>
  <c r="M11" i="2"/>
  <c r="M5" i="2"/>
  <c r="M4" i="2"/>
  <c r="E20" i="2"/>
  <c r="E19" i="2"/>
  <c r="E18" i="2"/>
  <c r="D21" i="2"/>
  <c r="C21" i="2"/>
  <c r="B21" i="2"/>
  <c r="D13" i="2"/>
  <c r="C13" i="2"/>
  <c r="B13" i="2"/>
  <c r="E12" i="2"/>
  <c r="E11" i="2"/>
  <c r="D6" i="2"/>
  <c r="C6" i="2"/>
  <c r="B6" i="2"/>
  <c r="E5" i="2"/>
  <c r="E4" i="2"/>
  <c r="D27" i="1"/>
  <c r="C27" i="1"/>
  <c r="B27" i="1"/>
  <c r="E27" i="1" s="1"/>
  <c r="D20" i="1"/>
  <c r="C20" i="1"/>
  <c r="B20" i="1"/>
  <c r="C13" i="1"/>
  <c r="B13" i="1"/>
  <c r="B6" i="1"/>
  <c r="E26" i="1"/>
  <c r="L26" i="1" s="1"/>
  <c r="E25" i="1"/>
  <c r="L25" i="1" s="1"/>
  <c r="E24" i="1"/>
  <c r="J24" i="1" s="1"/>
  <c r="B9" i="3" s="1"/>
  <c r="E19" i="1"/>
  <c r="L19" i="1" s="1"/>
  <c r="E18" i="1"/>
  <c r="K18" i="1" s="1"/>
  <c r="D12" i="1"/>
  <c r="J12" i="1" s="1"/>
  <c r="D11" i="1"/>
  <c r="K11" i="1" s="1"/>
  <c r="D10" i="1"/>
  <c r="K10" i="1" s="1"/>
  <c r="E17" i="1"/>
  <c r="K17" i="1" s="1"/>
  <c r="J5" i="1"/>
  <c r="J4" i="1"/>
  <c r="J3" i="1"/>
  <c r="C23" i="6" l="1"/>
  <c r="D23" i="6" s="1"/>
  <c r="C24" i="6"/>
  <c r="D24" i="6" s="1"/>
  <c r="D23" i="5"/>
  <c r="E7" i="5" s="1"/>
  <c r="C24" i="5"/>
  <c r="D24" i="5" s="1"/>
  <c r="R37" i="4"/>
  <c r="R31" i="4"/>
  <c r="F37" i="4"/>
  <c r="N37" i="4"/>
  <c r="N31" i="4"/>
  <c r="N25" i="4"/>
  <c r="F39" i="4"/>
  <c r="J39" i="4"/>
  <c r="E13" i="4"/>
  <c r="E12" i="4"/>
  <c r="C23" i="4"/>
  <c r="D23" i="4" s="1"/>
  <c r="E3" i="4" s="1"/>
  <c r="E14" i="4"/>
  <c r="E15" i="4"/>
  <c r="E18" i="4"/>
  <c r="E17" i="4"/>
  <c r="E16" i="4"/>
  <c r="E20" i="4"/>
  <c r="E19" i="4"/>
  <c r="O51" i="3"/>
  <c r="O42" i="3"/>
  <c r="E48" i="3"/>
  <c r="H18" i="3"/>
  <c r="H19" i="3"/>
  <c r="H21" i="3"/>
  <c r="H22" i="3"/>
  <c r="I32" i="3"/>
  <c r="I26" i="3"/>
  <c r="E47" i="3"/>
  <c r="I30" i="3"/>
  <c r="I27" i="3"/>
  <c r="I24" i="3"/>
  <c r="I31" i="3"/>
  <c r="I28" i="3"/>
  <c r="I25" i="3"/>
  <c r="I29" i="3"/>
  <c r="H15" i="3"/>
  <c r="H16" i="3"/>
  <c r="E21" i="2"/>
  <c r="L20" i="2" s="1"/>
  <c r="J19" i="1"/>
  <c r="K19" i="1"/>
  <c r="J17" i="1"/>
  <c r="K12" i="1"/>
  <c r="E13" i="2"/>
  <c r="L12" i="2" s="1"/>
  <c r="E6" i="2"/>
  <c r="J5" i="2" s="1"/>
  <c r="J11" i="1"/>
  <c r="L18" i="1"/>
  <c r="E20" i="1"/>
  <c r="D13" i="1"/>
  <c r="J10" i="1"/>
  <c r="J25" i="1"/>
  <c r="K25" i="1"/>
  <c r="J26" i="1"/>
  <c r="K26" i="1"/>
  <c r="L24" i="1"/>
  <c r="K24" i="1"/>
  <c r="J18" i="1"/>
  <c r="L17" i="1"/>
  <c r="E12" i="6" l="1"/>
  <c r="E14" i="6"/>
  <c r="E13" i="6"/>
  <c r="E15" i="6"/>
  <c r="E18" i="6"/>
  <c r="E17" i="6"/>
  <c r="E16" i="6"/>
  <c r="E20" i="6"/>
  <c r="E19" i="6"/>
  <c r="E3" i="6"/>
  <c r="E8" i="6"/>
  <c r="E9" i="6"/>
  <c r="E7" i="6"/>
  <c r="E5" i="6"/>
  <c r="E10" i="6"/>
  <c r="E4" i="6"/>
  <c r="E11" i="6"/>
  <c r="E6" i="6"/>
  <c r="E6" i="5"/>
  <c r="E10" i="5"/>
  <c r="E5" i="5"/>
  <c r="E19" i="5"/>
  <c r="E17" i="5"/>
  <c r="E14" i="5"/>
  <c r="E9" i="5"/>
  <c r="E4" i="5"/>
  <c r="E3" i="5"/>
  <c r="E12" i="5"/>
  <c r="E15" i="5"/>
  <c r="E20" i="5"/>
  <c r="C29" i="5"/>
  <c r="D29" i="5" s="1"/>
  <c r="F7" i="5" s="1"/>
  <c r="E8" i="5"/>
  <c r="E18" i="5"/>
  <c r="E11" i="5"/>
  <c r="E16" i="5"/>
  <c r="E13" i="5"/>
  <c r="C28" i="4"/>
  <c r="D28" i="4" s="1"/>
  <c r="F4" i="4" s="1"/>
  <c r="E10" i="4"/>
  <c r="F10" i="4" s="1"/>
  <c r="E11" i="4"/>
  <c r="F11" i="4" s="1"/>
  <c r="E9" i="4"/>
  <c r="C30" i="4" s="1"/>
  <c r="D30" i="4" s="1"/>
  <c r="F18" i="4" s="1"/>
  <c r="E8" i="4"/>
  <c r="C29" i="4" s="1"/>
  <c r="D29" i="4" s="1"/>
  <c r="E7" i="4"/>
  <c r="E6" i="4"/>
  <c r="E5" i="4"/>
  <c r="E4" i="4"/>
  <c r="I20" i="3"/>
  <c r="I23" i="3"/>
  <c r="E46" i="3"/>
  <c r="E45" i="3"/>
  <c r="I17" i="3"/>
  <c r="L18" i="2"/>
  <c r="K20" i="2"/>
  <c r="J20" i="2"/>
  <c r="L19" i="2"/>
  <c r="K19" i="2"/>
  <c r="J19" i="2"/>
  <c r="K18" i="2"/>
  <c r="J18" i="2"/>
  <c r="K5" i="2"/>
  <c r="J4" i="2"/>
  <c r="K4" i="2"/>
  <c r="L5" i="2"/>
  <c r="L4" i="2"/>
  <c r="G28" i="3"/>
  <c r="G29" i="3"/>
  <c r="B8" i="3"/>
  <c r="G26" i="3"/>
  <c r="G24" i="3"/>
  <c r="G32" i="3"/>
  <c r="G30" i="3"/>
  <c r="G27" i="3"/>
  <c r="B7" i="3"/>
  <c r="G18" i="3"/>
  <c r="K12" i="2"/>
  <c r="J12" i="2"/>
  <c r="L11" i="2"/>
  <c r="K11" i="2"/>
  <c r="J11" i="2"/>
  <c r="C29" i="6" l="1"/>
  <c r="D29" i="6" s="1"/>
  <c r="F7" i="6" s="1"/>
  <c r="C30" i="6"/>
  <c r="D30" i="6" s="1"/>
  <c r="F11" i="6" s="1"/>
  <c r="C28" i="6"/>
  <c r="D28" i="6" s="1"/>
  <c r="F4" i="6" s="1"/>
  <c r="F6" i="5"/>
  <c r="C28" i="5"/>
  <c r="D28" i="5" s="1"/>
  <c r="F5" i="5" s="1"/>
  <c r="C30" i="5"/>
  <c r="D30" i="5" s="1"/>
  <c r="F10" i="5" s="1"/>
  <c r="F16" i="5"/>
  <c r="F8" i="5"/>
  <c r="F15" i="5"/>
  <c r="F17" i="5"/>
  <c r="F20" i="4"/>
  <c r="F19" i="4"/>
  <c r="F12" i="4"/>
  <c r="F13" i="4"/>
  <c r="F14" i="4"/>
  <c r="F3" i="4"/>
  <c r="F9" i="4"/>
  <c r="F5" i="4"/>
  <c r="F7" i="4"/>
  <c r="F6" i="4"/>
  <c r="F8" i="4"/>
  <c r="F15" i="4"/>
  <c r="C34" i="4"/>
  <c r="D34" i="4" s="1"/>
  <c r="G12" i="4" s="1"/>
  <c r="F17" i="4"/>
  <c r="F16" i="4"/>
  <c r="E59" i="3"/>
  <c r="J29" i="3" s="1"/>
  <c r="E56" i="3"/>
  <c r="J26" i="3" s="1"/>
  <c r="I22" i="3"/>
  <c r="I19" i="3"/>
  <c r="I18" i="3"/>
  <c r="I21" i="3"/>
  <c r="I15" i="3"/>
  <c r="I16" i="3"/>
  <c r="E62" i="3"/>
  <c r="J32" i="3" s="1"/>
  <c r="G25" i="3"/>
  <c r="G21" i="3"/>
  <c r="G16" i="3"/>
  <c r="G19" i="3"/>
  <c r="G20" i="3"/>
  <c r="G23" i="3"/>
  <c r="G17" i="3"/>
  <c r="G31" i="3"/>
  <c r="G22" i="3"/>
  <c r="B11" i="3"/>
  <c r="G15" i="3"/>
  <c r="F15" i="6" l="1"/>
  <c r="F17" i="6"/>
  <c r="F20" i="6"/>
  <c r="F5" i="6"/>
  <c r="F6" i="6"/>
  <c r="F12" i="6"/>
  <c r="F14" i="6"/>
  <c r="F3" i="6"/>
  <c r="F9" i="6"/>
  <c r="F18" i="6"/>
  <c r="F13" i="6"/>
  <c r="F16" i="6"/>
  <c r="F19" i="6"/>
  <c r="F8" i="6"/>
  <c r="F10" i="6"/>
  <c r="F4" i="5"/>
  <c r="F12" i="5"/>
  <c r="F19" i="5"/>
  <c r="F20" i="5"/>
  <c r="F11" i="5"/>
  <c r="F13" i="5"/>
  <c r="C35" i="5" s="1"/>
  <c r="D35" i="5" s="1"/>
  <c r="G7" i="5" s="1"/>
  <c r="F14" i="5"/>
  <c r="F9" i="5"/>
  <c r="F3" i="5"/>
  <c r="F18" i="5"/>
  <c r="G9" i="4"/>
  <c r="G6" i="4"/>
  <c r="G3" i="4"/>
  <c r="G18" i="4"/>
  <c r="G15" i="4"/>
  <c r="C36" i="4"/>
  <c r="D36" i="4" s="1"/>
  <c r="C35" i="4"/>
  <c r="D35" i="4" s="1"/>
  <c r="J17" i="3"/>
  <c r="J23" i="3"/>
  <c r="E55" i="3"/>
  <c r="J25" i="3" s="1"/>
  <c r="E54" i="3"/>
  <c r="J24" i="3" s="1"/>
  <c r="E60" i="3"/>
  <c r="J30" i="3" s="1"/>
  <c r="E57" i="3"/>
  <c r="J27" i="3" s="1"/>
  <c r="E58" i="3"/>
  <c r="J28" i="3" s="1"/>
  <c r="J20" i="3"/>
  <c r="E61" i="3"/>
  <c r="J31" i="3" s="1"/>
  <c r="C34" i="6" l="1"/>
  <c r="D34" i="6" s="1"/>
  <c r="G15" i="6" s="1"/>
  <c r="C36" i="6"/>
  <c r="D36" i="6" s="1"/>
  <c r="G5" i="6" s="1"/>
  <c r="C35" i="6"/>
  <c r="D35" i="6" s="1"/>
  <c r="G13" i="6" s="1"/>
  <c r="G4" i="5"/>
  <c r="G13" i="5"/>
  <c r="G16" i="5"/>
  <c r="C34" i="5"/>
  <c r="D34" i="5" s="1"/>
  <c r="G10" i="5"/>
  <c r="G19" i="5"/>
  <c r="C36" i="5"/>
  <c r="D36" i="5" s="1"/>
  <c r="G20" i="5" s="1"/>
  <c r="G4" i="4"/>
  <c r="G19" i="4"/>
  <c r="G13" i="4"/>
  <c r="G10" i="4"/>
  <c r="G7" i="4"/>
  <c r="G5" i="4"/>
  <c r="G20" i="4"/>
  <c r="G14" i="4"/>
  <c r="G11" i="4"/>
  <c r="G8" i="4"/>
  <c r="G17" i="4"/>
  <c r="G16" i="4"/>
  <c r="K29" i="3"/>
  <c r="K32" i="3"/>
  <c r="K26" i="3"/>
  <c r="J15" i="3"/>
  <c r="J16" i="3"/>
  <c r="J18" i="3"/>
  <c r="J22" i="3"/>
  <c r="J19" i="3"/>
  <c r="J21" i="3"/>
  <c r="G20" i="6" l="1"/>
  <c r="G9" i="6"/>
  <c r="G18" i="6"/>
  <c r="G4" i="6"/>
  <c r="G7" i="6"/>
  <c r="G11" i="6"/>
  <c r="G17" i="6"/>
  <c r="G6" i="6"/>
  <c r="G12" i="6"/>
  <c r="G14" i="6"/>
  <c r="G3" i="6"/>
  <c r="G16" i="6"/>
  <c r="G19" i="6"/>
  <c r="G8" i="6"/>
  <c r="E36" i="6" s="1"/>
  <c r="F36" i="6" s="1"/>
  <c r="G10" i="6"/>
  <c r="G12" i="5"/>
  <c r="G15" i="5"/>
  <c r="G6" i="5"/>
  <c r="G3" i="5"/>
  <c r="G5" i="5"/>
  <c r="G8" i="5"/>
  <c r="G17" i="5"/>
  <c r="G11" i="5"/>
  <c r="G14" i="5"/>
  <c r="G9" i="5"/>
  <c r="G18" i="5"/>
  <c r="E35" i="5"/>
  <c r="F35" i="5" s="1"/>
  <c r="H50" i="3"/>
  <c r="L29" i="3" s="1"/>
  <c r="K24" i="3"/>
  <c r="K27" i="3"/>
  <c r="K28" i="3"/>
  <c r="K17" i="3"/>
  <c r="K25" i="3"/>
  <c r="K31" i="3"/>
  <c r="K23" i="3"/>
  <c r="K22" i="3"/>
  <c r="K30" i="3"/>
  <c r="K20" i="3"/>
  <c r="K16" i="3"/>
  <c r="E28" i="6" l="1"/>
  <c r="F28" i="6" s="1"/>
  <c r="E23" i="6"/>
  <c r="F23" i="6" s="1"/>
  <c r="G23" i="6"/>
  <c r="H23" i="6" s="1"/>
  <c r="H5" i="6" s="1"/>
  <c r="E34" i="6"/>
  <c r="F34" i="6" s="1"/>
  <c r="G24" i="6"/>
  <c r="H24" i="6" s="1"/>
  <c r="H19" i="6" s="1"/>
  <c r="E24" i="6"/>
  <c r="F24" i="6" s="1"/>
  <c r="E29" i="6"/>
  <c r="F29" i="6" s="1"/>
  <c r="E35" i="6"/>
  <c r="F35" i="6" s="1"/>
  <c r="E30" i="6"/>
  <c r="F30" i="6" s="1"/>
  <c r="E28" i="5"/>
  <c r="F28" i="5" s="1"/>
  <c r="E34" i="5"/>
  <c r="F34" i="5" s="1"/>
  <c r="G23" i="5"/>
  <c r="H23" i="5" s="1"/>
  <c r="E23" i="5"/>
  <c r="F23" i="5" s="1"/>
  <c r="E30" i="5"/>
  <c r="F30" i="5" s="1"/>
  <c r="E29" i="5"/>
  <c r="F29" i="5" s="1"/>
  <c r="G24" i="5"/>
  <c r="H24" i="5" s="1"/>
  <c r="H14" i="5" s="1"/>
  <c r="E24" i="5"/>
  <c r="F24" i="5" s="1"/>
  <c r="E36" i="5"/>
  <c r="F36" i="5" s="1"/>
  <c r="H49" i="3"/>
  <c r="L28" i="3" s="1"/>
  <c r="H48" i="3"/>
  <c r="L30" i="3" s="1"/>
  <c r="L26" i="3"/>
  <c r="L32" i="3"/>
  <c r="H47" i="3"/>
  <c r="L17" i="3" s="1"/>
  <c r="K21" i="3"/>
  <c r="G63" i="3"/>
  <c r="K18" i="3"/>
  <c r="K19" i="3"/>
  <c r="H46" i="3" s="1"/>
  <c r="K15" i="3"/>
  <c r="G42" i="3"/>
  <c r="H9" i="6" l="1"/>
  <c r="H4" i="6"/>
  <c r="H7" i="6"/>
  <c r="H11" i="6"/>
  <c r="H6" i="6"/>
  <c r="H8" i="6"/>
  <c r="H18" i="6"/>
  <c r="H12" i="6"/>
  <c r="H17" i="6"/>
  <c r="H14" i="6"/>
  <c r="H3" i="6"/>
  <c r="F31" i="6"/>
  <c r="H10" i="6"/>
  <c r="H13" i="6"/>
  <c r="H15" i="6"/>
  <c r="H20" i="6"/>
  <c r="F37" i="6"/>
  <c r="F25" i="6"/>
  <c r="F39" i="6" s="1"/>
  <c r="H16" i="6"/>
  <c r="H17" i="5"/>
  <c r="H18" i="5"/>
  <c r="F37" i="5"/>
  <c r="F25" i="5"/>
  <c r="F31" i="5"/>
  <c r="H7" i="5"/>
  <c r="H10" i="5"/>
  <c r="H4" i="5"/>
  <c r="H3" i="5"/>
  <c r="H5" i="5"/>
  <c r="H8" i="5"/>
  <c r="H11" i="5"/>
  <c r="H16" i="5"/>
  <c r="H13" i="5"/>
  <c r="H19" i="5"/>
  <c r="H20" i="5"/>
  <c r="H12" i="5"/>
  <c r="H6" i="5"/>
  <c r="H9" i="5"/>
  <c r="H15" i="5"/>
  <c r="L24" i="3"/>
  <c r="L31" i="3"/>
  <c r="L27" i="3"/>
  <c r="L25" i="3"/>
  <c r="H56" i="3"/>
  <c r="M26" i="3" s="1"/>
  <c r="H45" i="3"/>
  <c r="L23" i="3"/>
  <c r="L20" i="3"/>
  <c r="L19" i="3"/>
  <c r="L22" i="3"/>
  <c r="L16" i="3"/>
  <c r="G51" i="3"/>
  <c r="G65" i="3" s="1"/>
  <c r="G30" i="6" l="1"/>
  <c r="H30" i="6" s="1"/>
  <c r="I19" i="6" s="1"/>
  <c r="G28" i="6"/>
  <c r="H28" i="6" s="1"/>
  <c r="I14" i="6" s="1"/>
  <c r="G29" i="6"/>
  <c r="H29" i="6" s="1"/>
  <c r="I15" i="6" s="1"/>
  <c r="F39" i="5"/>
  <c r="G28" i="5"/>
  <c r="H28" i="5" s="1"/>
  <c r="I14" i="5" s="1"/>
  <c r="G30" i="5"/>
  <c r="H30" i="5" s="1"/>
  <c r="I18" i="5" s="1"/>
  <c r="G29" i="5"/>
  <c r="H29" i="5" s="1"/>
  <c r="I17" i="5" s="1"/>
  <c r="H55" i="3"/>
  <c r="M25" i="3" s="1"/>
  <c r="H61" i="3"/>
  <c r="M31" i="3" s="1"/>
  <c r="H58" i="3"/>
  <c r="M28" i="3" s="1"/>
  <c r="H59" i="3"/>
  <c r="M29" i="3" s="1"/>
  <c r="H62" i="3"/>
  <c r="M32" i="3" s="1"/>
  <c r="L18" i="3"/>
  <c r="L21" i="3"/>
  <c r="L15" i="3"/>
  <c r="M17" i="3"/>
  <c r="I18" i="6" l="1"/>
  <c r="I11" i="6"/>
  <c r="I9" i="6"/>
  <c r="I10" i="6"/>
  <c r="I20" i="6"/>
  <c r="I16" i="6"/>
  <c r="I12" i="6"/>
  <c r="I17" i="6"/>
  <c r="I5" i="6"/>
  <c r="I4" i="6"/>
  <c r="I3" i="6"/>
  <c r="I6" i="6"/>
  <c r="I8" i="6"/>
  <c r="I7" i="6"/>
  <c r="I13" i="6"/>
  <c r="I9" i="5"/>
  <c r="I15" i="5"/>
  <c r="I7" i="5"/>
  <c r="I8" i="5"/>
  <c r="I11" i="5"/>
  <c r="I16" i="5"/>
  <c r="I13" i="5"/>
  <c r="I19" i="5"/>
  <c r="I20" i="5"/>
  <c r="I12" i="5"/>
  <c r="I6" i="5"/>
  <c r="I10" i="5"/>
  <c r="I4" i="5"/>
  <c r="I3" i="5"/>
  <c r="I5" i="5"/>
  <c r="J49" i="3"/>
  <c r="K49" i="3" s="1"/>
  <c r="J50" i="3"/>
  <c r="K50" i="3" s="1"/>
  <c r="M20" i="3"/>
  <c r="J59" i="3" s="1"/>
  <c r="K59" i="3" s="1"/>
  <c r="M19" i="3"/>
  <c r="J58" i="3" s="1"/>
  <c r="K58" i="3" s="1"/>
  <c r="J56" i="3"/>
  <c r="K56" i="3" s="1"/>
  <c r="H60" i="3"/>
  <c r="M30" i="3" s="1"/>
  <c r="J41" i="3" s="1"/>
  <c r="K41" i="3" s="1"/>
  <c r="M23" i="3"/>
  <c r="J62" i="3" s="1"/>
  <c r="K62" i="3" s="1"/>
  <c r="M22" i="3"/>
  <c r="J61" i="3" s="1"/>
  <c r="K61" i="3" s="1"/>
  <c r="H54" i="3"/>
  <c r="M24" i="3" s="1"/>
  <c r="H57" i="3"/>
  <c r="M27" i="3" s="1"/>
  <c r="J40" i="3" s="1"/>
  <c r="K40" i="3" s="1"/>
  <c r="M16" i="3"/>
  <c r="G34" i="6" l="1"/>
  <c r="H34" i="6" s="1"/>
  <c r="J12" i="6" s="1"/>
  <c r="G35" i="6"/>
  <c r="H35" i="6" s="1"/>
  <c r="J16" i="6" s="1"/>
  <c r="G36" i="6"/>
  <c r="H36" i="6" s="1"/>
  <c r="J17" i="6" s="1"/>
  <c r="G34" i="5"/>
  <c r="H34" i="5" s="1"/>
  <c r="J18" i="5" s="1"/>
  <c r="G36" i="5"/>
  <c r="H36" i="5" s="1"/>
  <c r="G35" i="5"/>
  <c r="H35" i="5" s="1"/>
  <c r="J10" i="5" s="1"/>
  <c r="J48" i="3"/>
  <c r="K48" i="3" s="1"/>
  <c r="J39" i="3"/>
  <c r="K39" i="3" s="1"/>
  <c r="M18" i="3"/>
  <c r="M15" i="3"/>
  <c r="J46" i="3"/>
  <c r="K46" i="3" s="1"/>
  <c r="J55" i="3"/>
  <c r="K55" i="3" s="1"/>
  <c r="M21" i="3"/>
  <c r="J47" i="3"/>
  <c r="K47" i="3" s="1"/>
  <c r="J19" i="6" l="1"/>
  <c r="J10" i="6"/>
  <c r="J7" i="6"/>
  <c r="J14" i="6"/>
  <c r="J20" i="6"/>
  <c r="J11" i="6"/>
  <c r="J5" i="6"/>
  <c r="J4" i="6"/>
  <c r="J15" i="6"/>
  <c r="J9" i="6"/>
  <c r="J18" i="6"/>
  <c r="J3" i="6"/>
  <c r="J6" i="6"/>
  <c r="J13" i="6"/>
  <c r="I24" i="6" s="1"/>
  <c r="J24" i="6" s="1"/>
  <c r="J8" i="6"/>
  <c r="J12" i="5"/>
  <c r="J17" i="5"/>
  <c r="J14" i="5"/>
  <c r="J15" i="5"/>
  <c r="J3" i="5"/>
  <c r="J19" i="5"/>
  <c r="J4" i="5"/>
  <c r="J5" i="5"/>
  <c r="J8" i="5"/>
  <c r="J16" i="5"/>
  <c r="J20" i="5"/>
  <c r="J6" i="5"/>
  <c r="J9" i="5"/>
  <c r="J11" i="5"/>
  <c r="J7" i="5"/>
  <c r="J13" i="5"/>
  <c r="J38" i="3"/>
  <c r="K38" i="3" s="1"/>
  <c r="J60" i="3"/>
  <c r="K60" i="3" s="1"/>
  <c r="J36" i="3"/>
  <c r="K36" i="3" s="1"/>
  <c r="J45" i="3"/>
  <c r="K45" i="3" s="1"/>
  <c r="K51" i="3" s="1"/>
  <c r="J54" i="3"/>
  <c r="K54" i="3" s="1"/>
  <c r="J57" i="3"/>
  <c r="K57" i="3" s="1"/>
  <c r="J37" i="3"/>
  <c r="K37" i="3" s="1"/>
  <c r="I34" i="6" l="1"/>
  <c r="J34" i="6" s="1"/>
  <c r="I28" i="6"/>
  <c r="J28" i="6" s="1"/>
  <c r="K23" i="6"/>
  <c r="L23" i="6" s="1"/>
  <c r="K3" i="6" s="1"/>
  <c r="I23" i="6"/>
  <c r="J23" i="6" s="1"/>
  <c r="J25" i="6" s="1"/>
  <c r="I35" i="6"/>
  <c r="J35" i="6" s="1"/>
  <c r="I36" i="6"/>
  <c r="J36" i="6" s="1"/>
  <c r="I29" i="6"/>
  <c r="J29" i="6" s="1"/>
  <c r="I30" i="6"/>
  <c r="J30" i="6" s="1"/>
  <c r="K24" i="6"/>
  <c r="L24" i="6" s="1"/>
  <c r="K18" i="6" s="1"/>
  <c r="I24" i="5"/>
  <c r="J24" i="5" s="1"/>
  <c r="K24" i="5"/>
  <c r="L24" i="5" s="1"/>
  <c r="K12" i="5" s="1"/>
  <c r="K16" i="5"/>
  <c r="K18" i="5"/>
  <c r="I29" i="5"/>
  <c r="J29" i="5" s="1"/>
  <c r="K20" i="5"/>
  <c r="K19" i="5"/>
  <c r="K17" i="5"/>
  <c r="K13" i="5"/>
  <c r="I30" i="5"/>
  <c r="J30" i="5" s="1"/>
  <c r="I36" i="5"/>
  <c r="J36" i="5" s="1"/>
  <c r="I35" i="5"/>
  <c r="J35" i="5" s="1"/>
  <c r="I34" i="5"/>
  <c r="J34" i="5" s="1"/>
  <c r="K23" i="5"/>
  <c r="L23" i="5" s="1"/>
  <c r="K10" i="5" s="1"/>
  <c r="I28" i="5"/>
  <c r="J28" i="5" s="1"/>
  <c r="I23" i="5"/>
  <c r="J23" i="5" s="1"/>
  <c r="J25" i="5" s="1"/>
  <c r="K15" i="5"/>
  <c r="K14" i="5"/>
  <c r="K63" i="3"/>
  <c r="K42" i="3"/>
  <c r="K65" i="3" s="1"/>
  <c r="K13" i="6" l="1"/>
  <c r="K19" i="6"/>
  <c r="K14" i="6"/>
  <c r="K20" i="6"/>
  <c r="K15" i="6"/>
  <c r="K9" i="6"/>
  <c r="K7" i="6"/>
  <c r="K4" i="6"/>
  <c r="J31" i="6"/>
  <c r="K6" i="6"/>
  <c r="K8" i="6"/>
  <c r="J37" i="6"/>
  <c r="J39" i="6" s="1"/>
  <c r="K11" i="6"/>
  <c r="K5" i="6"/>
  <c r="K10" i="6"/>
  <c r="K17" i="6"/>
  <c r="K16" i="6"/>
  <c r="K12" i="6"/>
  <c r="J31" i="5"/>
  <c r="J37" i="5"/>
  <c r="J39" i="5" s="1"/>
  <c r="K4" i="5"/>
  <c r="K6" i="5"/>
  <c r="K5" i="5"/>
  <c r="K8" i="5"/>
  <c r="K9" i="5"/>
  <c r="K11" i="5"/>
  <c r="K3" i="5"/>
  <c r="K7" i="5"/>
  <c r="K28" i="6" l="1"/>
  <c r="L28" i="6" s="1"/>
  <c r="K29" i="6"/>
  <c r="L29" i="6" s="1"/>
  <c r="L15" i="6" s="1"/>
  <c r="K30" i="6"/>
  <c r="L30" i="6" s="1"/>
  <c r="L11" i="6" s="1"/>
  <c r="K30" i="5"/>
  <c r="L30" i="5" s="1"/>
  <c r="K29" i="5"/>
  <c r="L29" i="5" s="1"/>
  <c r="L8" i="5" s="1"/>
  <c r="K28" i="5"/>
  <c r="L28" i="5" s="1"/>
  <c r="L5" i="5" s="1"/>
  <c r="L9" i="6" l="1"/>
  <c r="L3" i="6"/>
  <c r="L13" i="6"/>
  <c r="L14" i="6"/>
  <c r="L12" i="6"/>
  <c r="L5" i="6"/>
  <c r="L18" i="6"/>
  <c r="L19" i="6"/>
  <c r="L20" i="6"/>
  <c r="L7" i="6"/>
  <c r="L4" i="6"/>
  <c r="L6" i="6"/>
  <c r="L8" i="6"/>
  <c r="L10" i="6"/>
  <c r="L16" i="6"/>
  <c r="L17" i="6"/>
  <c r="L19" i="5"/>
  <c r="L20" i="5"/>
  <c r="L10" i="5"/>
  <c r="L18" i="5"/>
  <c r="L7" i="5"/>
  <c r="L11" i="5"/>
  <c r="L15" i="5"/>
  <c r="L17" i="5"/>
  <c r="L16" i="5"/>
  <c r="L12" i="5"/>
  <c r="L14" i="5"/>
  <c r="L13" i="5"/>
  <c r="L3" i="5"/>
  <c r="L4" i="5"/>
  <c r="L6" i="5"/>
  <c r="L9" i="5"/>
  <c r="K35" i="6" l="1"/>
  <c r="L35" i="6" s="1"/>
  <c r="M10" i="6" s="1"/>
  <c r="K36" i="6"/>
  <c r="L36" i="6" s="1"/>
  <c r="M11" i="6" s="1"/>
  <c r="K34" i="6"/>
  <c r="L34" i="6" s="1"/>
  <c r="K36" i="5"/>
  <c r="L36" i="5" s="1"/>
  <c r="M5" i="5" s="1"/>
  <c r="K34" i="5"/>
  <c r="L34" i="5" s="1"/>
  <c r="M3" i="5" s="1"/>
  <c r="K35" i="5"/>
  <c r="L35" i="5" s="1"/>
  <c r="M7" i="5" s="1"/>
  <c r="M13" i="6" l="1"/>
  <c r="M19" i="6"/>
  <c r="M16" i="6"/>
  <c r="M7" i="6"/>
  <c r="M4" i="6"/>
  <c r="M5" i="6"/>
  <c r="M15" i="6"/>
  <c r="M9" i="6"/>
  <c r="M3" i="6"/>
  <c r="M20" i="6"/>
  <c r="M6" i="6"/>
  <c r="M14" i="6"/>
  <c r="M18" i="6"/>
  <c r="M8" i="6"/>
  <c r="M17" i="6"/>
  <c r="M12" i="6"/>
  <c r="M35" i="6"/>
  <c r="N35" i="6" s="1"/>
  <c r="M14" i="5"/>
  <c r="M11" i="5"/>
  <c r="M8" i="5"/>
  <c r="M20" i="5"/>
  <c r="M17" i="5"/>
  <c r="M9" i="5"/>
  <c r="M12" i="5"/>
  <c r="M6" i="5"/>
  <c r="M10" i="5"/>
  <c r="M15" i="5"/>
  <c r="M4" i="5"/>
  <c r="M16" i="5"/>
  <c r="M18" i="5"/>
  <c r="M13" i="5"/>
  <c r="M19" i="5"/>
  <c r="M34" i="6" l="1"/>
  <c r="N34" i="6" s="1"/>
  <c r="O23" i="6"/>
  <c r="P23" i="6" s="1"/>
  <c r="N3" i="6" s="1"/>
  <c r="M23" i="6"/>
  <c r="N23" i="6" s="1"/>
  <c r="M28" i="6"/>
  <c r="N28" i="6" s="1"/>
  <c r="M29" i="6"/>
  <c r="N29" i="6" s="1"/>
  <c r="M30" i="6"/>
  <c r="N30" i="6" s="1"/>
  <c r="M36" i="6"/>
  <c r="N36" i="6" s="1"/>
  <c r="M24" i="6"/>
  <c r="N24" i="6" s="1"/>
  <c r="O24" i="6"/>
  <c r="P24" i="6" s="1"/>
  <c r="N12" i="6" s="1"/>
  <c r="M36" i="5"/>
  <c r="N36" i="5" s="1"/>
  <c r="M30" i="5"/>
  <c r="N30" i="5" s="1"/>
  <c r="M35" i="5"/>
  <c r="N35" i="5" s="1"/>
  <c r="M29" i="5"/>
  <c r="N29" i="5" s="1"/>
  <c r="M24" i="5"/>
  <c r="N24" i="5" s="1"/>
  <c r="O24" i="5"/>
  <c r="P24" i="5" s="1"/>
  <c r="M28" i="5"/>
  <c r="N28" i="5" s="1"/>
  <c r="O23" i="5"/>
  <c r="P23" i="5" s="1"/>
  <c r="M23" i="5"/>
  <c r="N23" i="5" s="1"/>
  <c r="M34" i="5"/>
  <c r="N34" i="5" s="1"/>
  <c r="N9" i="6" l="1"/>
  <c r="N6" i="6"/>
  <c r="N15" i="6"/>
  <c r="N18" i="6"/>
  <c r="N25" i="6"/>
  <c r="N13" i="6"/>
  <c r="N19" i="6"/>
  <c r="N16" i="6"/>
  <c r="N14" i="6"/>
  <c r="N17" i="6"/>
  <c r="N10" i="6"/>
  <c r="N4" i="6"/>
  <c r="N5" i="6"/>
  <c r="N11" i="6"/>
  <c r="N7" i="6"/>
  <c r="N20" i="6"/>
  <c r="N31" i="6"/>
  <c r="N37" i="6"/>
  <c r="N8" i="6"/>
  <c r="N25" i="5"/>
  <c r="N37" i="5"/>
  <c r="N31" i="5"/>
  <c r="N5" i="5"/>
  <c r="N7" i="5"/>
  <c r="N3" i="5"/>
  <c r="N8" i="5"/>
  <c r="N11" i="5"/>
  <c r="N9" i="5"/>
  <c r="N20" i="5"/>
  <c r="N17" i="5"/>
  <c r="N14" i="5"/>
  <c r="N12" i="5"/>
  <c r="N6" i="5"/>
  <c r="N10" i="5"/>
  <c r="N15" i="5"/>
  <c r="N4" i="5"/>
  <c r="N16" i="5"/>
  <c r="N18" i="5"/>
  <c r="N13" i="5"/>
  <c r="N19" i="5"/>
  <c r="O30" i="6" l="1"/>
  <c r="P30" i="6" s="1"/>
  <c r="O9" i="6" s="1"/>
  <c r="N39" i="6"/>
  <c r="O18" i="6"/>
  <c r="O29" i="6"/>
  <c r="P29" i="6" s="1"/>
  <c r="O6" i="6" s="1"/>
  <c r="O19" i="6"/>
  <c r="O28" i="6"/>
  <c r="P28" i="6" s="1"/>
  <c r="O13" i="6" s="1"/>
  <c r="N39" i="5"/>
  <c r="O30" i="5"/>
  <c r="P30" i="5" s="1"/>
  <c r="O10" i="5" s="1"/>
  <c r="O28" i="5"/>
  <c r="P28" i="5" s="1"/>
  <c r="O13" i="5" s="1"/>
  <c r="O29" i="5"/>
  <c r="P29" i="5" s="1"/>
  <c r="O7" i="5" s="1"/>
  <c r="O10" i="6" l="1"/>
  <c r="O20" i="6"/>
  <c r="O11" i="6"/>
  <c r="O8" i="6"/>
  <c r="O12" i="6"/>
  <c r="O3" i="6"/>
  <c r="O16" i="6"/>
  <c r="O15" i="6"/>
  <c r="O4" i="6"/>
  <c r="O14" i="6"/>
  <c r="O17" i="6"/>
  <c r="O5" i="6"/>
  <c r="O7" i="6"/>
  <c r="O5" i="5"/>
  <c r="O14" i="5"/>
  <c r="O8" i="5"/>
  <c r="O11" i="5"/>
  <c r="O17" i="5"/>
  <c r="O3" i="5"/>
  <c r="O9" i="5"/>
  <c r="O20" i="5"/>
  <c r="O6" i="5"/>
  <c r="O15" i="5"/>
  <c r="O4" i="5"/>
  <c r="O18" i="5"/>
  <c r="O19" i="5"/>
  <c r="O12" i="5"/>
  <c r="O16" i="5"/>
  <c r="O36" i="6" l="1"/>
  <c r="P36" i="6" s="1"/>
  <c r="P14" i="6" s="1"/>
  <c r="O35" i="6"/>
  <c r="P35" i="6" s="1"/>
  <c r="P4" i="6" s="1"/>
  <c r="O34" i="6"/>
  <c r="P34" i="6" s="1"/>
  <c r="P3" i="6" s="1"/>
  <c r="O36" i="5"/>
  <c r="P36" i="5" s="1"/>
  <c r="P14" i="5" s="1"/>
  <c r="O35" i="5"/>
  <c r="P35" i="5" s="1"/>
  <c r="P16" i="5" s="1"/>
  <c r="O34" i="5"/>
  <c r="P34" i="5" s="1"/>
  <c r="P3" i="5" s="1"/>
  <c r="P8" i="5"/>
  <c r="P8" i="6" l="1"/>
  <c r="P9" i="6"/>
  <c r="P18" i="6"/>
  <c r="P6" i="6"/>
  <c r="P16" i="6"/>
  <c r="P13" i="6"/>
  <c r="P19" i="6"/>
  <c r="P10" i="6"/>
  <c r="P11" i="6"/>
  <c r="P20" i="6"/>
  <c r="P5" i="6"/>
  <c r="P12" i="6"/>
  <c r="P15" i="6"/>
  <c r="P17" i="6"/>
  <c r="P7" i="6"/>
  <c r="Q35" i="6" s="1"/>
  <c r="R35" i="6" s="1"/>
  <c r="P17" i="5"/>
  <c r="P20" i="5"/>
  <c r="P5" i="5"/>
  <c r="P11" i="5"/>
  <c r="P4" i="5"/>
  <c r="P19" i="5"/>
  <c r="Q36" i="5"/>
  <c r="R36" i="5" s="1"/>
  <c r="P9" i="5"/>
  <c r="P15" i="5"/>
  <c r="P18" i="5"/>
  <c r="P12" i="5"/>
  <c r="P6" i="5"/>
  <c r="P13" i="5"/>
  <c r="P7" i="5"/>
  <c r="P10" i="5"/>
  <c r="Q35" i="5"/>
  <c r="R35" i="5" s="1"/>
  <c r="Q24" i="6" l="1"/>
  <c r="R24" i="6" s="1"/>
  <c r="Q36" i="6"/>
  <c r="R36" i="6" s="1"/>
  <c r="Q29" i="6"/>
  <c r="R29" i="6" s="1"/>
  <c r="Q30" i="6"/>
  <c r="R30" i="6" s="1"/>
  <c r="Q34" i="6"/>
  <c r="R34" i="6" s="1"/>
  <c r="Q28" i="6"/>
  <c r="R28" i="6" s="1"/>
  <c r="Q23" i="6"/>
  <c r="R23" i="6" s="1"/>
  <c r="Q29" i="5"/>
  <c r="R29" i="5" s="1"/>
  <c r="Q24" i="5"/>
  <c r="R24" i="5" s="1"/>
  <c r="Q30" i="5"/>
  <c r="R30" i="5" s="1"/>
  <c r="Q28" i="5"/>
  <c r="R28" i="5" s="1"/>
  <c r="Q34" i="5"/>
  <c r="R34" i="5" s="1"/>
  <c r="R37" i="5" s="1"/>
  <c r="Q23" i="5"/>
  <c r="R23" i="5" s="1"/>
  <c r="R37" i="6" l="1"/>
  <c r="R25" i="6"/>
  <c r="R31" i="6"/>
  <c r="R25" i="5"/>
  <c r="R31" i="5"/>
  <c r="R39" i="6" l="1"/>
  <c r="R39" i="5"/>
</calcChain>
</file>

<file path=xl/sharedStrings.xml><?xml version="1.0" encoding="utf-8"?>
<sst xmlns="http://schemas.openxmlformats.org/spreadsheetml/2006/main" count="1036" uniqueCount="64">
  <si>
    <t>Area</t>
  </si>
  <si>
    <t>B</t>
  </si>
  <si>
    <t>C</t>
  </si>
  <si>
    <t>A</t>
  </si>
  <si>
    <t>Popn.</t>
  </si>
  <si>
    <t>Female</t>
  </si>
  <si>
    <t>Male</t>
  </si>
  <si>
    <t>Total</t>
  </si>
  <si>
    <t>GENDER</t>
  </si>
  <si>
    <t>POPULATION</t>
  </si>
  <si>
    <t>Young</t>
  </si>
  <si>
    <t>Adult</t>
  </si>
  <si>
    <t>Elderly</t>
  </si>
  <si>
    <t>AGE</t>
  </si>
  <si>
    <t>Good</t>
  </si>
  <si>
    <t>Fair</t>
  </si>
  <si>
    <t>Poor</t>
  </si>
  <si>
    <t>HEALTH</t>
  </si>
  <si>
    <t>Gender</t>
  </si>
  <si>
    <t>Age</t>
  </si>
  <si>
    <t>GENDER x AGE</t>
  </si>
  <si>
    <t>Health</t>
  </si>
  <si>
    <t>GENDER x HEALTH</t>
  </si>
  <si>
    <t>AGE x HEALTH</t>
  </si>
  <si>
    <t>Assume independence</t>
  </si>
  <si>
    <r>
      <t>P</t>
    </r>
    <r>
      <rPr>
        <vertAlign val="subscript"/>
        <sz val="11"/>
        <color theme="1"/>
        <rFont val="Aptos Narrow"/>
        <family val="2"/>
        <scheme val="minor"/>
      </rPr>
      <t>G(A)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</si>
  <si>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Y(A)</t>
    </r>
  </si>
  <si>
    <t>So initial estimate for Area A, Female, Young, Good Health is given by</t>
  </si>
  <si>
    <r>
      <t>P</t>
    </r>
    <r>
      <rPr>
        <vertAlign val="subscript"/>
        <sz val="11"/>
        <color theme="1"/>
        <rFont val="Aptos Narrow"/>
        <family val="2"/>
        <scheme val="minor"/>
      </rPr>
      <t>F(A),Y(A),G(A)</t>
    </r>
    <r>
      <rPr>
        <sz val="11"/>
        <color theme="1"/>
        <rFont val="Aptos Narrow"/>
        <family val="2"/>
        <scheme val="minor"/>
      </rPr>
      <t xml:space="preserve"> = P</t>
    </r>
    <r>
      <rPr>
        <vertAlign val="subscript"/>
        <sz val="11"/>
        <color theme="1"/>
        <rFont val="Aptos Narrow"/>
        <family val="2"/>
        <scheme val="minor"/>
      </rPr>
      <t>F(A)</t>
    </r>
    <r>
      <rPr>
        <sz val="11"/>
        <color theme="1"/>
        <rFont val="Aptos Narrow"/>
        <family val="2"/>
        <scheme val="minor"/>
      </rPr>
      <t>*P</t>
    </r>
    <r>
      <rPr>
        <vertAlign val="subscript"/>
        <sz val="11"/>
        <color theme="1"/>
        <rFont val="Aptos Narrow"/>
        <family val="2"/>
        <scheme val="minor"/>
      </rPr>
      <t>Y(A)</t>
    </r>
    <r>
      <rPr>
        <sz val="11"/>
        <color theme="1"/>
        <rFont val="Aptos Narrow"/>
        <family val="2"/>
        <scheme val="minor"/>
      </rPr>
      <t>*P</t>
    </r>
    <r>
      <rPr>
        <vertAlign val="subscript"/>
        <sz val="11"/>
        <color theme="1"/>
        <rFont val="Aptos Narrow"/>
        <family val="2"/>
        <scheme val="minor"/>
      </rPr>
      <t>G(A)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</si>
  <si>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F(A)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</si>
  <si>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F(A),Y(A),G(A)</t>
    </r>
  </si>
  <si>
    <t>SEED TABLE</t>
  </si>
  <si>
    <r>
      <t>P</t>
    </r>
    <r>
      <rPr>
        <vertAlign val="subscript"/>
        <sz val="11"/>
        <color theme="1"/>
        <rFont val="Aptos Narrow"/>
        <family val="2"/>
        <scheme val="minor"/>
      </rPr>
      <t>(G),(A),(H)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</si>
  <si>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(G)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</si>
  <si>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(A)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</si>
  <si>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(H)</t>
    </r>
  </si>
  <si>
    <t>Sum(P)</t>
  </si>
  <si>
    <t>Original</t>
  </si>
  <si>
    <t>Factor</t>
  </si>
  <si>
    <t>Refactored (GxA)</t>
  </si>
  <si>
    <t>Refactored (GxH)</t>
  </si>
  <si>
    <t>Refactored (AxH)</t>
  </si>
  <si>
    <t>MaxAD</t>
  </si>
  <si>
    <t>Iteration 1</t>
  </si>
  <si>
    <t>AbsDiff</t>
  </si>
  <si>
    <t>Overall MaxAD</t>
  </si>
  <si>
    <t>Iteration 2</t>
  </si>
  <si>
    <t>Iteration 3</t>
  </si>
  <si>
    <t>Start</t>
  </si>
  <si>
    <t>Refactored P(G)</t>
  </si>
  <si>
    <t>Refactored P(A)</t>
  </si>
  <si>
    <t>Refactored P(H)</t>
  </si>
  <si>
    <t>Max AD</t>
  </si>
  <si>
    <t>Iteration 4</t>
  </si>
  <si>
    <t>FINAL</t>
  </si>
  <si>
    <t>Count</t>
  </si>
  <si>
    <t>%</t>
  </si>
  <si>
    <t>Grand Total</t>
  </si>
  <si>
    <t>Sum of Count</t>
  </si>
  <si>
    <t>Adult Total</t>
  </si>
  <si>
    <t>Elderly Total</t>
  </si>
  <si>
    <t>Young Total</t>
  </si>
  <si>
    <t>Female Total</t>
  </si>
  <si>
    <t>Male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</si>
</sst>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7" formatCode="0.000"/>
    <numFmt numFmtId="168" formatCode="0.00000"/>
    <numFmt numFmtId="169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164" fontId="2" fillId="2" borderId="5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2" fillId="2" borderId="5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right" vertical="center" wrapText="1"/>
    </xf>
    <xf numFmtId="167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68" fontId="0" fillId="0" borderId="0" xfId="0" applyNumberFormat="1"/>
    <xf numFmtId="169" fontId="0" fillId="0" borderId="0" xfId="0" applyNumberFormat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2" xfId="0" applyBorder="1"/>
    <xf numFmtId="0" fontId="0" fillId="0" borderId="10" xfId="0" applyBorder="1"/>
    <xf numFmtId="0" fontId="0" fillId="0" borderId="9" xfId="0" applyBorder="1"/>
    <xf numFmtId="0" fontId="0" fillId="0" borderId="12" xfId="0" applyBorder="1"/>
    <xf numFmtId="168" fontId="0" fillId="0" borderId="0" xfId="0" applyNumberFormat="1" applyBorder="1"/>
    <xf numFmtId="168" fontId="0" fillId="0" borderId="9" xfId="0" applyNumberFormat="1" applyBorder="1"/>
    <xf numFmtId="168" fontId="0" fillId="0" borderId="8" xfId="0" applyNumberFormat="1" applyBorder="1"/>
    <xf numFmtId="1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Blackwell" refreshedDate="46246.755925578706" createdVersion="8" refreshedVersion="8" minRefreshableVersion="3" recordCount="54" xr:uid="{932F68B0-A3AA-4B34-AB29-7B50072A993D}">
  <cacheSource type="worksheet">
    <worksheetSource ref="A2:F56" sheet="Final"/>
  </cacheSource>
  <cacheFields count="6">
    <cacheField name="Area" numFmtId="0">
      <sharedItems count="3">
        <s v="A"/>
        <s v="B"/>
        <s v="C"/>
      </sharedItems>
    </cacheField>
    <cacheField name="Gender" numFmtId="0">
      <sharedItems count="2">
        <s v="Female"/>
        <s v="Male"/>
      </sharedItems>
    </cacheField>
    <cacheField name="Age" numFmtId="0">
      <sharedItems count="3">
        <s v="Young"/>
        <s v="Adult"/>
        <s v="Elderly"/>
      </sharedItems>
    </cacheField>
    <cacheField name="Health" numFmtId="0">
      <sharedItems count="3">
        <s v="Good"/>
        <s v="Fair"/>
        <s v="Poor"/>
      </sharedItems>
    </cacheField>
    <cacheField name="%" numFmtId="0">
      <sharedItems containsSemiMixedTypes="0" containsString="0" containsNumber="1" minValue="1.0285076577797843E-2" maxValue="0.10202936259314514"/>
    </cacheField>
    <cacheField name="Count" numFmtId="1">
      <sharedItems containsSemiMixedTypes="0" containsString="0" containsNumber="1" minValue="0.84040555155699259" maxValue="8.57046645782419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x v="0"/>
    <n v="4.1087998529227142E-2"/>
    <n v="3.2870398823381715"/>
  </r>
  <r>
    <x v="0"/>
    <x v="0"/>
    <x v="0"/>
    <x v="1"/>
    <n v="4.8795644486770033E-2"/>
    <n v="3.9036515589416028"/>
  </r>
  <r>
    <x v="0"/>
    <x v="0"/>
    <x v="0"/>
    <x v="2"/>
    <n v="3.646379225194487E-2"/>
    <n v="2.9171033801555897"/>
  </r>
  <r>
    <x v="0"/>
    <x v="0"/>
    <x v="1"/>
    <x v="0"/>
    <n v="5.4086660102995184E-2"/>
    <n v="4.326932808239615"/>
  </r>
  <r>
    <x v="0"/>
    <x v="0"/>
    <x v="1"/>
    <x v="1"/>
    <n v="9.2452809060635244E-2"/>
    <n v="7.3962247248508195"/>
  </r>
  <r>
    <x v="0"/>
    <x v="0"/>
    <x v="1"/>
    <x v="2"/>
    <n v="8.6479948829307235E-2"/>
    <n v="6.9183959063445783"/>
  </r>
  <r>
    <x v="0"/>
    <x v="0"/>
    <x v="2"/>
    <x v="0"/>
    <n v="3.3448284385903575E-2"/>
    <n v="2.6758627508722861"/>
  </r>
  <r>
    <x v="0"/>
    <x v="0"/>
    <x v="2"/>
    <x v="1"/>
    <n v="7.5282168503553154E-2"/>
    <n v="6.0225734802842528"/>
  </r>
  <r>
    <x v="0"/>
    <x v="0"/>
    <x v="2"/>
    <x v="2"/>
    <n v="0.10151420491824679"/>
    <n v="8.1211363934597429"/>
  </r>
  <r>
    <x v="0"/>
    <x v="1"/>
    <x v="0"/>
    <x v="0"/>
    <n v="3.0611357068432848E-2"/>
    <n v="2.4489085654746279"/>
  </r>
  <r>
    <x v="0"/>
    <x v="1"/>
    <x v="0"/>
    <x v="1"/>
    <n v="4.9610716730661093E-2"/>
    <n v="3.9688573384528874"/>
  </r>
  <r>
    <x v="0"/>
    <x v="1"/>
    <x v="0"/>
    <x v="2"/>
    <n v="4.3426559195883181E-2"/>
    <n v="3.4741247356706544"/>
  </r>
  <r>
    <x v="0"/>
    <x v="1"/>
    <x v="1"/>
    <x v="0"/>
    <n v="2.6233558373109939E-2"/>
    <n v="2.0986846698487951"/>
  </r>
  <r>
    <x v="0"/>
    <x v="1"/>
    <x v="1"/>
    <x v="1"/>
    <n v="6.1194726241620367E-2"/>
    <n v="4.8955780993296294"/>
  </r>
  <r>
    <x v="0"/>
    <x v="1"/>
    <x v="1"/>
    <x v="2"/>
    <n v="6.7051493088583769E-2"/>
    <n v="5.3641194470867015"/>
  </r>
  <r>
    <x v="0"/>
    <x v="1"/>
    <x v="2"/>
    <x v="0"/>
    <n v="1.7063787109951593E-2"/>
    <n v="1.3651029687961276"/>
  </r>
  <r>
    <x v="0"/>
    <x v="1"/>
    <x v="2"/>
    <x v="1"/>
    <n v="5.2410770419798108E-2"/>
    <n v="4.1928616335838491"/>
  </r>
  <r>
    <x v="0"/>
    <x v="1"/>
    <x v="2"/>
    <x v="2"/>
    <n v="8.2785520703375817E-2"/>
    <n v="6.6228416562700652"/>
  </r>
  <r>
    <x v="1"/>
    <x v="0"/>
    <x v="0"/>
    <x v="0"/>
    <n v="5.4224345476209593E-2"/>
    <n v="3.7957041833346716"/>
  </r>
  <r>
    <x v="1"/>
    <x v="0"/>
    <x v="0"/>
    <x v="1"/>
    <n v="7.2956006480103003E-2"/>
    <n v="5.1069204536072101"/>
  </r>
  <r>
    <x v="1"/>
    <x v="0"/>
    <x v="0"/>
    <x v="2"/>
    <n v="5.4033988858301955E-2"/>
    <n v="3.782379220081137"/>
  </r>
  <r>
    <x v="1"/>
    <x v="0"/>
    <x v="1"/>
    <x v="0"/>
    <n v="4.5566892670621348E-2"/>
    <n v="3.1896824869434943"/>
  </r>
  <r>
    <x v="1"/>
    <x v="0"/>
    <x v="1"/>
    <x v="1"/>
    <n v="8.8242951072784598E-2"/>
    <n v="6.1770065750949215"/>
  </r>
  <r>
    <x v="1"/>
    <x v="0"/>
    <x v="1"/>
    <x v="2"/>
    <n v="8.1808896957375851E-2"/>
    <n v="5.7266227870163098"/>
  </r>
  <r>
    <x v="1"/>
    <x v="0"/>
    <x v="2"/>
    <x v="0"/>
    <n v="2.3935219527973284E-2"/>
    <n v="1.6754653669581299"/>
  </r>
  <r>
    <x v="1"/>
    <x v="0"/>
    <x v="2"/>
    <x v="1"/>
    <n v="6.1031824247914777E-2"/>
    <n v="4.2722276973540341"/>
  </r>
  <r>
    <x v="1"/>
    <x v="0"/>
    <x v="2"/>
    <x v="2"/>
    <n v="8.1567330459567572E-2"/>
    <n v="5.7097131321697301"/>
  </r>
  <r>
    <x v="1"/>
    <x v="1"/>
    <x v="0"/>
    <x v="0"/>
    <n v="3.9720416670644541E-2"/>
    <n v="2.780429166945118"/>
  </r>
  <r>
    <x v="1"/>
    <x v="1"/>
    <x v="0"/>
    <x v="1"/>
    <n v="7.2930195293910788E-2"/>
    <n v="5.105113670573755"/>
  </r>
  <r>
    <x v="1"/>
    <x v="1"/>
    <x v="0"/>
    <x v="2"/>
    <n v="6.3272136023400677E-2"/>
    <n v="4.4290495216380474"/>
  </r>
  <r>
    <x v="1"/>
    <x v="1"/>
    <x v="1"/>
    <x v="0"/>
    <n v="2.1730430652429217E-2"/>
    <n v="1.5211301456700452"/>
  </r>
  <r>
    <x v="1"/>
    <x v="1"/>
    <x v="1"/>
    <x v="1"/>
    <n v="5.7428277345335038E-2"/>
    <n v="4.0199794141734531"/>
  </r>
  <r>
    <x v="1"/>
    <x v="1"/>
    <x v="1"/>
    <x v="2"/>
    <n v="6.2365649058237355E-2"/>
    <n v="4.3655954340766145"/>
  </r>
  <r>
    <x v="1"/>
    <x v="1"/>
    <x v="2"/>
    <x v="0"/>
    <n v="1.2005793593671323E-2"/>
    <n v="0.84040555155699259"/>
  </r>
  <r>
    <x v="1"/>
    <x v="1"/>
    <x v="2"/>
    <x v="1"/>
    <n v="4.1776942743050362E-2"/>
    <n v="2.9243859920135251"/>
  </r>
  <r>
    <x v="1"/>
    <x v="1"/>
    <x v="2"/>
    <x v="2"/>
    <n v="6.5402702868468748E-2"/>
    <n v="4.5781892007928127"/>
  </r>
  <r>
    <x v="2"/>
    <x v="0"/>
    <x v="0"/>
    <x v="0"/>
    <n v="6.1249871873164691E-2"/>
    <n v="5.1449892373458344"/>
  </r>
  <r>
    <x v="2"/>
    <x v="0"/>
    <x v="0"/>
    <x v="1"/>
    <n v="7.6789796574063096E-2"/>
    <n v="6.4503429122213003"/>
  </r>
  <r>
    <x v="2"/>
    <x v="0"/>
    <x v="0"/>
    <x v="2"/>
    <n v="5.4463084963314319E-2"/>
    <n v="4.5748991369184031"/>
  </r>
  <r>
    <x v="2"/>
    <x v="0"/>
    <x v="1"/>
    <x v="0"/>
    <n v="5.6540932391818163E-2"/>
    <n v="4.7494383209127253"/>
  </r>
  <r>
    <x v="2"/>
    <x v="0"/>
    <x v="1"/>
    <x v="1"/>
    <n v="0.10202936259314514"/>
    <n v="8.5704664578241925"/>
  </r>
  <r>
    <x v="2"/>
    <x v="0"/>
    <x v="1"/>
    <x v="2"/>
    <n v="9.0581275478765766E-2"/>
    <n v="7.6088271402163246"/>
  </r>
  <r>
    <x v="2"/>
    <x v="0"/>
    <x v="2"/>
    <x v="0"/>
    <n v="2.2077206514880814E-2"/>
    <n v="1.8544853472499883"/>
  </r>
  <r>
    <x v="2"/>
    <x v="0"/>
    <x v="2"/>
    <x v="1"/>
    <n v="5.2455937610994707E-2"/>
    <n v="4.4062987593235556"/>
  </r>
  <r>
    <x v="2"/>
    <x v="0"/>
    <x v="2"/>
    <x v="2"/>
    <n v="6.7134737720436502E-2"/>
    <n v="5.6393179685166661"/>
  </r>
  <r>
    <x v="2"/>
    <x v="1"/>
    <x v="0"/>
    <x v="0"/>
    <n v="4.1671066307207696E-2"/>
    <n v="3.5003695698054464"/>
  </r>
  <r>
    <x v="2"/>
    <x v="1"/>
    <x v="0"/>
    <x v="1"/>
    <n v="7.1295118026164908E-2"/>
    <n v="5.9887899141978522"/>
  </r>
  <r>
    <x v="2"/>
    <x v="1"/>
    <x v="0"/>
    <x v="2"/>
    <n v="5.9232171803233986E-2"/>
    <n v="4.9755024314716545"/>
  </r>
  <r>
    <x v="2"/>
    <x v="1"/>
    <x v="1"/>
    <x v="0"/>
    <n v="2.5043316214648881E-2"/>
    <n v="2.1036385620305063"/>
  </r>
  <r>
    <x v="2"/>
    <x v="1"/>
    <x v="1"/>
    <x v="1"/>
    <n v="6.1670985845974087E-2"/>
    <n v="5.1803628110618236"/>
  </r>
  <r>
    <x v="2"/>
    <x v="1"/>
    <x v="1"/>
    <x v="2"/>
    <n v="6.4134733306636604E-2"/>
    <n v="5.387317597757475"/>
  </r>
  <r>
    <x v="2"/>
    <x v="1"/>
    <x v="2"/>
    <x v="0"/>
    <n v="1.0285076577797843E-2"/>
    <n v="0.86394643253501879"/>
  </r>
  <r>
    <x v="2"/>
    <x v="1"/>
    <x v="2"/>
    <x v="1"/>
    <n v="3.3349160795441181E-2"/>
    <n v="2.8013295068170594"/>
  </r>
  <r>
    <x v="2"/>
    <x v="1"/>
    <x v="2"/>
    <x v="2"/>
    <n v="4.9996165402311575E-2"/>
    <n v="4.19967789379417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74CA5-80AF-4E24-B1C3-5A893CCEF5A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L2:R30" firstHeaderRow="1" firstDataRow="2" firstDataCol="3"/>
  <pivotFields count="6"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numFmtId="1" outline="0" showAll="0"/>
  </pivotFields>
  <rowFields count="3">
    <field x="1"/>
    <field x="2"/>
    <field x="3"/>
  </rowFields>
  <rowItems count="27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Count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A7B9-C8DC-41BB-BADD-2F1A0953E340}">
  <dimension ref="A1:L27"/>
  <sheetViews>
    <sheetView workbookViewId="0">
      <selection activeCell="J23" sqref="J23:L23"/>
    </sheetView>
  </sheetViews>
  <sheetFormatPr defaultRowHeight="15" x14ac:dyDescent="0.25"/>
  <cols>
    <col min="1" max="1" width="10.28515625" bestFit="1" customWidth="1"/>
  </cols>
  <sheetData>
    <row r="1" spans="1:12" x14ac:dyDescent="0.25">
      <c r="A1" s="6" t="s">
        <v>9</v>
      </c>
      <c r="I1" s="6" t="s">
        <v>9</v>
      </c>
    </row>
    <row r="2" spans="1:12" x14ac:dyDescent="0.25">
      <c r="A2" s="18" t="s">
        <v>0</v>
      </c>
      <c r="B2" s="20" t="s">
        <v>4</v>
      </c>
      <c r="I2" s="18" t="s">
        <v>0</v>
      </c>
      <c r="J2" s="20" t="s">
        <v>4</v>
      </c>
    </row>
    <row r="3" spans="1:12" x14ac:dyDescent="0.25">
      <c r="A3" s="3" t="s">
        <v>3</v>
      </c>
      <c r="B3" s="21">
        <v>80</v>
      </c>
      <c r="I3" s="3" t="s">
        <v>3</v>
      </c>
      <c r="J3" s="28">
        <f>B3/SUM($B$3:$B$5)</f>
        <v>0.34188034188034189</v>
      </c>
    </row>
    <row r="4" spans="1:12" x14ac:dyDescent="0.25">
      <c r="A4" s="3" t="s">
        <v>1</v>
      </c>
      <c r="B4" s="21">
        <v>70</v>
      </c>
      <c r="I4" s="3" t="s">
        <v>1</v>
      </c>
      <c r="J4" s="28">
        <f t="shared" ref="J4:J5" si="0">B4/SUM($B$3:$B$5)</f>
        <v>0.29914529914529914</v>
      </c>
    </row>
    <row r="5" spans="1:12" x14ac:dyDescent="0.25">
      <c r="A5" s="3" t="s">
        <v>2</v>
      </c>
      <c r="B5" s="21">
        <v>84</v>
      </c>
      <c r="I5" s="3" t="s">
        <v>2</v>
      </c>
      <c r="J5" s="28">
        <f t="shared" si="0"/>
        <v>0.35897435897435898</v>
      </c>
    </row>
    <row r="6" spans="1:12" x14ac:dyDescent="0.25">
      <c r="A6" s="36" t="s">
        <v>7</v>
      </c>
      <c r="B6" s="23">
        <f>SUM(B3:B5)</f>
        <v>234</v>
      </c>
      <c r="I6" s="3"/>
      <c r="J6" s="31"/>
    </row>
    <row r="8" spans="1:12" x14ac:dyDescent="0.25">
      <c r="A8" s="5" t="s">
        <v>8</v>
      </c>
      <c r="I8" s="5" t="s">
        <v>8</v>
      </c>
    </row>
    <row r="9" spans="1:12" x14ac:dyDescent="0.25">
      <c r="A9" s="3" t="s">
        <v>0</v>
      </c>
      <c r="B9" s="21" t="s">
        <v>5</v>
      </c>
      <c r="C9" s="4" t="s">
        <v>6</v>
      </c>
      <c r="D9" s="21" t="s">
        <v>7</v>
      </c>
      <c r="I9" s="3" t="s">
        <v>0</v>
      </c>
      <c r="J9" s="21" t="s">
        <v>5</v>
      </c>
      <c r="K9" s="4" t="s">
        <v>6</v>
      </c>
    </row>
    <row r="10" spans="1:12" x14ac:dyDescent="0.25">
      <c r="A10" s="22" t="s">
        <v>3</v>
      </c>
      <c r="B10" s="23">
        <v>45</v>
      </c>
      <c r="C10" s="24">
        <v>34</v>
      </c>
      <c r="D10" s="23">
        <f>SUM(B10:C10)</f>
        <v>79</v>
      </c>
      <c r="I10" s="22" t="s">
        <v>3</v>
      </c>
      <c r="J10" s="29">
        <f>B10/$D10</f>
        <v>0.569620253164557</v>
      </c>
      <c r="K10" s="30">
        <f t="shared" ref="K10:K12" si="1">C10/$D10</f>
        <v>0.43037974683544306</v>
      </c>
    </row>
    <row r="11" spans="1:12" x14ac:dyDescent="0.25">
      <c r="A11" s="3" t="s">
        <v>1</v>
      </c>
      <c r="B11" s="21">
        <v>40</v>
      </c>
      <c r="C11" s="4">
        <v>31</v>
      </c>
      <c r="D11" s="21">
        <f t="shared" ref="D11:D13" si="2">SUM(B11:C11)</f>
        <v>71</v>
      </c>
      <c r="I11" s="3" t="s">
        <v>1</v>
      </c>
      <c r="J11" s="28">
        <f t="shared" ref="J11:J12" si="3">B11/$D11</f>
        <v>0.56338028169014087</v>
      </c>
      <c r="K11" s="31">
        <f t="shared" si="1"/>
        <v>0.43661971830985913</v>
      </c>
    </row>
    <row r="12" spans="1:12" x14ac:dyDescent="0.25">
      <c r="A12" s="18" t="s">
        <v>2</v>
      </c>
      <c r="B12" s="20">
        <v>49</v>
      </c>
      <c r="C12" s="19">
        <v>35</v>
      </c>
      <c r="D12" s="20">
        <f t="shared" si="2"/>
        <v>84</v>
      </c>
      <c r="I12" s="3" t="s">
        <v>2</v>
      </c>
      <c r="J12" s="28">
        <f t="shared" si="3"/>
        <v>0.58333333333333337</v>
      </c>
      <c r="K12" s="31">
        <f t="shared" si="1"/>
        <v>0.41666666666666669</v>
      </c>
    </row>
    <row r="13" spans="1:12" x14ac:dyDescent="0.25">
      <c r="A13" s="3" t="s">
        <v>7</v>
      </c>
      <c r="B13" s="21">
        <f>SUM(B10:B12)</f>
        <v>134</v>
      </c>
      <c r="C13" s="4">
        <f t="shared" ref="C13" si="4">SUM(C10:C12)</f>
        <v>100</v>
      </c>
      <c r="D13" s="21">
        <f t="shared" si="2"/>
        <v>234</v>
      </c>
    </row>
    <row r="15" spans="1:12" x14ac:dyDescent="0.25">
      <c r="A15" s="5" t="s">
        <v>13</v>
      </c>
      <c r="I15" s="5" t="s">
        <v>13</v>
      </c>
    </row>
    <row r="16" spans="1:12" x14ac:dyDescent="0.25">
      <c r="A16" s="1" t="s">
        <v>0</v>
      </c>
      <c r="B16" s="11" t="s">
        <v>10</v>
      </c>
      <c r="C16" s="2" t="s">
        <v>11</v>
      </c>
      <c r="D16" s="2" t="s">
        <v>12</v>
      </c>
      <c r="E16" s="11" t="s">
        <v>7</v>
      </c>
      <c r="I16" s="1" t="s">
        <v>0</v>
      </c>
      <c r="J16" s="11" t="s">
        <v>10</v>
      </c>
      <c r="K16" s="2" t="s">
        <v>11</v>
      </c>
      <c r="L16" s="2" t="s">
        <v>12</v>
      </c>
    </row>
    <row r="17" spans="1:12" x14ac:dyDescent="0.25">
      <c r="A17" s="13" t="s">
        <v>3</v>
      </c>
      <c r="B17" s="12">
        <v>20</v>
      </c>
      <c r="C17" s="9">
        <v>31</v>
      </c>
      <c r="D17" s="9">
        <v>29</v>
      </c>
      <c r="E17" s="12">
        <f>SUM(B17:D17)</f>
        <v>80</v>
      </c>
      <c r="I17" s="13" t="s">
        <v>3</v>
      </c>
      <c r="J17" s="32">
        <f>B17/$E17</f>
        <v>0.25</v>
      </c>
      <c r="K17" s="33">
        <f t="shared" ref="K17:K19" si="5">C17/$E17</f>
        <v>0.38750000000000001</v>
      </c>
      <c r="L17" s="33">
        <f t="shared" ref="L17:L19" si="6">D17/$E17</f>
        <v>0.36249999999999999</v>
      </c>
    </row>
    <row r="18" spans="1:12" x14ac:dyDescent="0.25">
      <c r="A18" s="1" t="s">
        <v>1</v>
      </c>
      <c r="B18" s="11">
        <v>25</v>
      </c>
      <c r="C18" s="2">
        <v>25</v>
      </c>
      <c r="D18" s="2">
        <v>20</v>
      </c>
      <c r="E18" s="11">
        <f t="shared" ref="E18:E20" si="7">SUM(B18:D18)</f>
        <v>70</v>
      </c>
      <c r="I18" s="1" t="s">
        <v>1</v>
      </c>
      <c r="J18" s="34">
        <f t="shared" ref="J18:J19" si="8">B18/$E18</f>
        <v>0.35714285714285715</v>
      </c>
      <c r="K18" s="35">
        <f t="shared" si="5"/>
        <v>0.35714285714285715</v>
      </c>
      <c r="L18" s="35">
        <f t="shared" si="6"/>
        <v>0.2857142857142857</v>
      </c>
    </row>
    <row r="19" spans="1:12" x14ac:dyDescent="0.25">
      <c r="A19" s="25" t="s">
        <v>2</v>
      </c>
      <c r="B19" s="26">
        <v>31</v>
      </c>
      <c r="C19" s="27">
        <v>34</v>
      </c>
      <c r="D19" s="27">
        <v>20</v>
      </c>
      <c r="E19" s="26">
        <f t="shared" si="7"/>
        <v>85</v>
      </c>
      <c r="I19" s="1" t="s">
        <v>2</v>
      </c>
      <c r="J19" s="34">
        <f t="shared" si="8"/>
        <v>0.36470588235294116</v>
      </c>
      <c r="K19" s="35">
        <f t="shared" si="5"/>
        <v>0.4</v>
      </c>
      <c r="L19" s="35">
        <f t="shared" si="6"/>
        <v>0.23529411764705882</v>
      </c>
    </row>
    <row r="20" spans="1:12" x14ac:dyDescent="0.25">
      <c r="A20" s="1" t="s">
        <v>7</v>
      </c>
      <c r="B20" s="11">
        <f>SUM(B17:B19)</f>
        <v>76</v>
      </c>
      <c r="C20" s="2">
        <f t="shared" ref="C20:D20" si="9">SUM(C17:C19)</f>
        <v>90</v>
      </c>
      <c r="D20" s="2">
        <f t="shared" si="9"/>
        <v>69</v>
      </c>
      <c r="E20" s="11">
        <f t="shared" si="7"/>
        <v>235</v>
      </c>
    </row>
    <row r="22" spans="1:12" x14ac:dyDescent="0.25">
      <c r="A22" s="5" t="s">
        <v>17</v>
      </c>
      <c r="I22" s="5" t="s">
        <v>17</v>
      </c>
    </row>
    <row r="23" spans="1:12" x14ac:dyDescent="0.25">
      <c r="A23" s="1" t="s">
        <v>0</v>
      </c>
      <c r="B23" s="11" t="s">
        <v>14</v>
      </c>
      <c r="C23" s="2" t="s">
        <v>15</v>
      </c>
      <c r="D23" s="2" t="s">
        <v>16</v>
      </c>
      <c r="E23" s="11" t="s">
        <v>7</v>
      </c>
      <c r="I23" s="1" t="s">
        <v>0</v>
      </c>
      <c r="J23" s="11" t="s">
        <v>14</v>
      </c>
      <c r="K23" s="2" t="s">
        <v>15</v>
      </c>
      <c r="L23" s="2" t="s">
        <v>16</v>
      </c>
    </row>
    <row r="24" spans="1:12" x14ac:dyDescent="0.25">
      <c r="A24" s="13" t="s">
        <v>3</v>
      </c>
      <c r="B24" s="12">
        <v>16</v>
      </c>
      <c r="C24" s="9">
        <v>30</v>
      </c>
      <c r="D24" s="9">
        <v>33</v>
      </c>
      <c r="E24" s="12">
        <f>SUM(B24:D24)</f>
        <v>79</v>
      </c>
      <c r="I24" s="13" t="s">
        <v>3</v>
      </c>
      <c r="J24" s="32">
        <f>B24/$E24</f>
        <v>0.20253164556962025</v>
      </c>
      <c r="K24" s="33">
        <f t="shared" ref="K24:K26" si="10">C24/$E24</f>
        <v>0.379746835443038</v>
      </c>
      <c r="L24" s="33">
        <f t="shared" ref="L24:L26" si="11">D24/$E24</f>
        <v>0.41772151898734178</v>
      </c>
    </row>
    <row r="25" spans="1:12" x14ac:dyDescent="0.25">
      <c r="A25" s="1" t="s">
        <v>1</v>
      </c>
      <c r="B25" s="11">
        <v>14</v>
      </c>
      <c r="C25" s="2">
        <v>28</v>
      </c>
      <c r="D25" s="2">
        <v>29</v>
      </c>
      <c r="E25" s="11">
        <f t="shared" ref="E25:E27" si="12">SUM(B25:D25)</f>
        <v>71</v>
      </c>
      <c r="I25" s="1" t="s">
        <v>1</v>
      </c>
      <c r="J25" s="34">
        <f t="shared" ref="J25:J26" si="13">B25/$E25</f>
        <v>0.19718309859154928</v>
      </c>
      <c r="K25" s="35">
        <f t="shared" si="10"/>
        <v>0.39436619718309857</v>
      </c>
      <c r="L25" s="35">
        <f t="shared" si="11"/>
        <v>0.40845070422535212</v>
      </c>
    </row>
    <row r="26" spans="1:12" x14ac:dyDescent="0.25">
      <c r="A26" s="25" t="s">
        <v>2</v>
      </c>
      <c r="B26" s="26">
        <v>18</v>
      </c>
      <c r="C26" s="27">
        <v>33</v>
      </c>
      <c r="D26" s="27">
        <v>32</v>
      </c>
      <c r="E26" s="26">
        <f t="shared" si="12"/>
        <v>83</v>
      </c>
      <c r="I26" s="1" t="s">
        <v>2</v>
      </c>
      <c r="J26" s="34">
        <f t="shared" si="13"/>
        <v>0.21686746987951808</v>
      </c>
      <c r="K26" s="35">
        <f t="shared" si="10"/>
        <v>0.39759036144578314</v>
      </c>
      <c r="L26" s="35">
        <f t="shared" si="11"/>
        <v>0.38554216867469882</v>
      </c>
    </row>
    <row r="27" spans="1:12" x14ac:dyDescent="0.25">
      <c r="A27" s="1" t="s">
        <v>7</v>
      </c>
      <c r="B27" s="11">
        <f>SUM(B24:B26)</f>
        <v>48</v>
      </c>
      <c r="C27" s="2">
        <f t="shared" ref="C27:D27" si="14">SUM(C24:C26)</f>
        <v>91</v>
      </c>
      <c r="D27" s="2">
        <f t="shared" si="14"/>
        <v>94</v>
      </c>
      <c r="E27" s="11">
        <f t="shared" si="12"/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9A97-61E8-48F1-ADD8-C4C7C621A494}">
  <dimension ref="A1:M21"/>
  <sheetViews>
    <sheetView workbookViewId="0">
      <selection activeCell="M18" sqref="M18"/>
    </sheetView>
  </sheetViews>
  <sheetFormatPr defaultRowHeight="15" x14ac:dyDescent="0.25"/>
  <cols>
    <col min="10" max="10" width="13.140625" bestFit="1" customWidth="1"/>
  </cols>
  <sheetData>
    <row r="1" spans="1:13" x14ac:dyDescent="0.25">
      <c r="A1" s="6" t="s">
        <v>20</v>
      </c>
      <c r="I1" s="6" t="s">
        <v>20</v>
      </c>
    </row>
    <row r="2" spans="1:13" x14ac:dyDescent="0.25">
      <c r="A2" s="42" t="s">
        <v>18</v>
      </c>
      <c r="B2" s="38" t="s">
        <v>19</v>
      </c>
      <c r="C2" s="38"/>
      <c r="D2" s="38"/>
      <c r="E2" s="43" t="s">
        <v>7</v>
      </c>
      <c r="I2" s="42" t="s">
        <v>18</v>
      </c>
      <c r="J2" s="38" t="s">
        <v>19</v>
      </c>
      <c r="K2" s="38"/>
      <c r="L2" s="38"/>
      <c r="M2" s="43" t="s">
        <v>7</v>
      </c>
    </row>
    <row r="3" spans="1:13" x14ac:dyDescent="0.25">
      <c r="A3" s="42"/>
      <c r="B3" s="9" t="s">
        <v>10</v>
      </c>
      <c r="C3" s="9" t="s">
        <v>11</v>
      </c>
      <c r="D3" s="9" t="s">
        <v>12</v>
      </c>
      <c r="E3" s="43"/>
      <c r="I3" s="42"/>
      <c r="J3" s="9" t="s">
        <v>10</v>
      </c>
      <c r="K3" s="9" t="s">
        <v>11</v>
      </c>
      <c r="L3" s="9" t="s">
        <v>12</v>
      </c>
      <c r="M3" s="43"/>
    </row>
    <row r="4" spans="1:13" x14ac:dyDescent="0.25">
      <c r="A4" s="10" t="s">
        <v>5</v>
      </c>
      <c r="B4" s="9">
        <v>150</v>
      </c>
      <c r="C4" s="9">
        <v>250</v>
      </c>
      <c r="D4" s="9">
        <v>160</v>
      </c>
      <c r="E4" s="12">
        <f>SUM(B4:D4)</f>
        <v>560</v>
      </c>
      <c r="I4" s="10" t="s">
        <v>5</v>
      </c>
      <c r="J4" s="33">
        <f>B4/$E$6</f>
        <v>0.15</v>
      </c>
      <c r="K4" s="33">
        <f t="shared" ref="K4:K5" si="0">C4/$E$6</f>
        <v>0.25</v>
      </c>
      <c r="L4" s="33">
        <f t="shared" ref="L4:L5" si="1">D4/$E$6</f>
        <v>0.16</v>
      </c>
      <c r="M4" s="32">
        <f>SUM(J4:L4)</f>
        <v>0.56000000000000005</v>
      </c>
    </row>
    <row r="5" spans="1:13" x14ac:dyDescent="0.25">
      <c r="A5" s="8" t="s">
        <v>6</v>
      </c>
      <c r="B5" s="2">
        <v>150</v>
      </c>
      <c r="C5" s="2">
        <v>170</v>
      </c>
      <c r="D5" s="2">
        <v>120</v>
      </c>
      <c r="E5" s="11">
        <f t="shared" ref="E5:E6" si="2">SUM(B5:D5)</f>
        <v>440</v>
      </c>
      <c r="I5" s="8" t="s">
        <v>6</v>
      </c>
      <c r="J5" s="35">
        <f t="shared" ref="J5" si="3">B5/$E$6</f>
        <v>0.15</v>
      </c>
      <c r="K5" s="35">
        <f t="shared" si="0"/>
        <v>0.17</v>
      </c>
      <c r="L5" s="35">
        <f t="shared" si="1"/>
        <v>0.12</v>
      </c>
      <c r="M5" s="34">
        <f t="shared" ref="M5:M6" si="4">SUM(J5:L5)</f>
        <v>0.44</v>
      </c>
    </row>
    <row r="6" spans="1:13" x14ac:dyDescent="0.25">
      <c r="A6" s="10" t="s">
        <v>7</v>
      </c>
      <c r="B6" s="9">
        <f>SUM(B4:B5)</f>
        <v>300</v>
      </c>
      <c r="C6" s="9">
        <f t="shared" ref="C6:D6" si="5">SUM(C4:C5)</f>
        <v>420</v>
      </c>
      <c r="D6" s="9">
        <f t="shared" si="5"/>
        <v>280</v>
      </c>
      <c r="E6" s="12">
        <f t="shared" si="2"/>
        <v>1000</v>
      </c>
      <c r="I6" s="10" t="s">
        <v>7</v>
      </c>
      <c r="J6" s="33">
        <f>SUM(J4:J5)</f>
        <v>0.3</v>
      </c>
      <c r="K6" s="33">
        <f t="shared" ref="K6:L6" si="6">SUM(K4:K5)</f>
        <v>0.42000000000000004</v>
      </c>
      <c r="L6" s="33">
        <f t="shared" si="6"/>
        <v>0.28000000000000003</v>
      </c>
      <c r="M6" s="32">
        <f t="shared" si="4"/>
        <v>1</v>
      </c>
    </row>
    <row r="8" spans="1:13" x14ac:dyDescent="0.25">
      <c r="A8" s="6" t="s">
        <v>22</v>
      </c>
      <c r="I8" s="6" t="s">
        <v>22</v>
      </c>
    </row>
    <row r="9" spans="1:13" x14ac:dyDescent="0.25">
      <c r="A9" s="42" t="s">
        <v>18</v>
      </c>
      <c r="B9" s="38" t="s">
        <v>21</v>
      </c>
      <c r="C9" s="38"/>
      <c r="D9" s="38"/>
      <c r="E9" s="43" t="s">
        <v>7</v>
      </c>
      <c r="I9" s="42" t="s">
        <v>18</v>
      </c>
      <c r="J9" s="38" t="s">
        <v>21</v>
      </c>
      <c r="K9" s="38"/>
      <c r="L9" s="38"/>
      <c r="M9" s="43" t="s">
        <v>7</v>
      </c>
    </row>
    <row r="10" spans="1:13" x14ac:dyDescent="0.25">
      <c r="A10" s="42"/>
      <c r="B10" s="9" t="s">
        <v>14</v>
      </c>
      <c r="C10" s="9" t="s">
        <v>15</v>
      </c>
      <c r="D10" s="9" t="s">
        <v>16</v>
      </c>
      <c r="E10" s="43"/>
      <c r="I10" s="42"/>
      <c r="J10" s="9" t="s">
        <v>14</v>
      </c>
      <c r="K10" s="9" t="s">
        <v>15</v>
      </c>
      <c r="L10" s="9" t="s">
        <v>16</v>
      </c>
      <c r="M10" s="43"/>
    </row>
    <row r="11" spans="1:13" x14ac:dyDescent="0.25">
      <c r="A11" s="10" t="s">
        <v>5</v>
      </c>
      <c r="B11" s="9">
        <v>300</v>
      </c>
      <c r="C11" s="9">
        <v>160</v>
      </c>
      <c r="D11" s="9">
        <v>100</v>
      </c>
      <c r="E11" s="12">
        <f>SUM(B11:D11)</f>
        <v>560</v>
      </c>
      <c r="I11" s="10" t="s">
        <v>5</v>
      </c>
      <c r="J11" s="33">
        <f>B11/$E$13</f>
        <v>0.3</v>
      </c>
      <c r="K11" s="33">
        <f t="shared" ref="K11:K12" si="7">C11/$E$13</f>
        <v>0.16</v>
      </c>
      <c r="L11" s="33">
        <f t="shared" ref="L11:L12" si="8">D11/$E$13</f>
        <v>0.1</v>
      </c>
      <c r="M11" s="32">
        <f>SUM(J11:L11)</f>
        <v>0.55999999999999994</v>
      </c>
    </row>
    <row r="12" spans="1:13" x14ac:dyDescent="0.25">
      <c r="A12" s="8" t="s">
        <v>6</v>
      </c>
      <c r="B12" s="2">
        <v>200</v>
      </c>
      <c r="C12" s="2">
        <v>140</v>
      </c>
      <c r="D12" s="2">
        <v>100</v>
      </c>
      <c r="E12" s="11">
        <f t="shared" ref="E12:E13" si="9">SUM(B12:D12)</f>
        <v>440</v>
      </c>
      <c r="I12" s="8" t="s">
        <v>18</v>
      </c>
      <c r="J12" s="35">
        <f t="shared" ref="J12" si="10">B12/$E$13</f>
        <v>0.2</v>
      </c>
      <c r="K12" s="35">
        <f t="shared" si="7"/>
        <v>0.14000000000000001</v>
      </c>
      <c r="L12" s="35">
        <f t="shared" si="8"/>
        <v>0.1</v>
      </c>
      <c r="M12" s="34">
        <f t="shared" ref="M12:M13" si="11">SUM(J12:L12)</f>
        <v>0.44000000000000006</v>
      </c>
    </row>
    <row r="13" spans="1:13" x14ac:dyDescent="0.25">
      <c r="A13" s="10" t="s">
        <v>7</v>
      </c>
      <c r="B13" s="9">
        <f>SUM(B11:B12)</f>
        <v>500</v>
      </c>
      <c r="C13" s="9">
        <f t="shared" ref="C13:D13" si="12">SUM(C11:C12)</f>
        <v>300</v>
      </c>
      <c r="D13" s="9">
        <f t="shared" si="12"/>
        <v>200</v>
      </c>
      <c r="E13" s="12">
        <f t="shared" si="9"/>
        <v>1000</v>
      </c>
      <c r="I13" s="10" t="s">
        <v>7</v>
      </c>
      <c r="J13" s="33">
        <f>SUM(J11:J12)</f>
        <v>0.5</v>
      </c>
      <c r="K13" s="33">
        <f t="shared" ref="K13:L13" si="13">SUM(K11:K12)</f>
        <v>0.30000000000000004</v>
      </c>
      <c r="L13" s="33">
        <f t="shared" si="13"/>
        <v>0.2</v>
      </c>
      <c r="M13" s="32">
        <f t="shared" si="11"/>
        <v>1</v>
      </c>
    </row>
    <row r="15" spans="1:13" x14ac:dyDescent="0.25">
      <c r="A15" s="6" t="s">
        <v>23</v>
      </c>
      <c r="I15" s="6" t="s">
        <v>23</v>
      </c>
    </row>
    <row r="16" spans="1:13" x14ac:dyDescent="0.25">
      <c r="A16" s="39" t="s">
        <v>19</v>
      </c>
      <c r="B16" s="37" t="s">
        <v>21</v>
      </c>
      <c r="C16" s="38"/>
      <c r="D16" s="40"/>
      <c r="E16" s="41" t="s">
        <v>7</v>
      </c>
      <c r="I16" s="39" t="s">
        <v>19</v>
      </c>
      <c r="J16" s="37" t="s">
        <v>21</v>
      </c>
      <c r="K16" s="38"/>
      <c r="L16" s="38"/>
      <c r="M16" s="43" t="s">
        <v>7</v>
      </c>
    </row>
    <row r="17" spans="1:13" x14ac:dyDescent="0.25">
      <c r="A17" s="39"/>
      <c r="B17" s="16" t="s">
        <v>14</v>
      </c>
      <c r="C17" s="7" t="s">
        <v>15</v>
      </c>
      <c r="D17" s="17" t="s">
        <v>16</v>
      </c>
      <c r="E17" s="41"/>
      <c r="I17" s="39"/>
      <c r="J17" s="16" t="s">
        <v>14</v>
      </c>
      <c r="K17" s="7" t="s">
        <v>15</v>
      </c>
      <c r="L17" s="7" t="s">
        <v>16</v>
      </c>
      <c r="M17" s="43"/>
    </row>
    <row r="18" spans="1:13" x14ac:dyDescent="0.25">
      <c r="A18" s="13" t="s">
        <v>10</v>
      </c>
      <c r="B18" s="12">
        <v>180</v>
      </c>
      <c r="C18" s="9">
        <v>80</v>
      </c>
      <c r="D18" s="15">
        <v>40</v>
      </c>
      <c r="E18" s="9">
        <f>SUM(B18:D18)</f>
        <v>300</v>
      </c>
      <c r="I18" s="13" t="s">
        <v>10</v>
      </c>
      <c r="J18" s="32">
        <f>B18/$E$21</f>
        <v>0.18</v>
      </c>
      <c r="K18" s="33">
        <f t="shared" ref="K18:K20" si="14">C18/$E$21</f>
        <v>0.08</v>
      </c>
      <c r="L18" s="33">
        <f t="shared" ref="L18:L20" si="15">D18/$E$21</f>
        <v>0.04</v>
      </c>
      <c r="M18" s="32">
        <f>SUM(J18:L18)</f>
        <v>0.3</v>
      </c>
    </row>
    <row r="19" spans="1:13" x14ac:dyDescent="0.25">
      <c r="A19" s="1" t="s">
        <v>11</v>
      </c>
      <c r="B19" s="11">
        <v>210</v>
      </c>
      <c r="C19" s="2">
        <v>130</v>
      </c>
      <c r="D19" s="14">
        <v>80</v>
      </c>
      <c r="E19" s="2">
        <f t="shared" ref="E19:E21" si="16">SUM(B19:D19)</f>
        <v>420</v>
      </c>
      <c r="I19" s="1" t="s">
        <v>11</v>
      </c>
      <c r="J19" s="34">
        <f t="shared" ref="J19:J20" si="17">B19/$E$21</f>
        <v>0.21</v>
      </c>
      <c r="K19" s="35">
        <f t="shared" si="14"/>
        <v>0.13</v>
      </c>
      <c r="L19" s="35">
        <f t="shared" si="15"/>
        <v>0.08</v>
      </c>
      <c r="M19" s="34">
        <f t="shared" ref="M19:M21" si="18">SUM(J19:L19)</f>
        <v>0.42</v>
      </c>
    </row>
    <row r="20" spans="1:13" x14ac:dyDescent="0.25">
      <c r="A20" s="1" t="s">
        <v>12</v>
      </c>
      <c r="B20" s="11">
        <v>110</v>
      </c>
      <c r="C20" s="2">
        <v>90</v>
      </c>
      <c r="D20" s="14">
        <v>80</v>
      </c>
      <c r="E20" s="2">
        <f t="shared" si="16"/>
        <v>280</v>
      </c>
      <c r="I20" s="1" t="s">
        <v>12</v>
      </c>
      <c r="J20" s="34">
        <f t="shared" si="17"/>
        <v>0.11</v>
      </c>
      <c r="K20" s="35">
        <f t="shared" si="14"/>
        <v>0.09</v>
      </c>
      <c r="L20" s="35">
        <f t="shared" si="15"/>
        <v>0.08</v>
      </c>
      <c r="M20" s="34">
        <f t="shared" si="18"/>
        <v>0.28000000000000003</v>
      </c>
    </row>
    <row r="21" spans="1:13" x14ac:dyDescent="0.25">
      <c r="A21" s="13" t="s">
        <v>7</v>
      </c>
      <c r="B21" s="12">
        <f>SUM(B18:B20)</f>
        <v>500</v>
      </c>
      <c r="C21" s="9">
        <f t="shared" ref="C21:D21" si="19">SUM(C18:C20)</f>
        <v>300</v>
      </c>
      <c r="D21" s="15">
        <f t="shared" si="19"/>
        <v>200</v>
      </c>
      <c r="E21" s="9">
        <f t="shared" si="16"/>
        <v>1000</v>
      </c>
      <c r="I21" s="10" t="s">
        <v>7</v>
      </c>
      <c r="J21" s="33">
        <f>SUM(J18:J20)</f>
        <v>0.5</v>
      </c>
      <c r="K21" s="33">
        <f t="shared" ref="K21:M21" si="20">SUM(K18:K20)</f>
        <v>0.30000000000000004</v>
      </c>
      <c r="L21" s="33">
        <f t="shared" si="20"/>
        <v>0.2</v>
      </c>
      <c r="M21" s="32">
        <f t="shared" si="18"/>
        <v>1</v>
      </c>
    </row>
  </sheetData>
  <mergeCells count="18">
    <mergeCell ref="M2:M3"/>
    <mergeCell ref="M9:M10"/>
    <mergeCell ref="M16:M17"/>
    <mergeCell ref="J16:L16"/>
    <mergeCell ref="A16:A17"/>
    <mergeCell ref="B16:D16"/>
    <mergeCell ref="E16:E17"/>
    <mergeCell ref="I2:I3"/>
    <mergeCell ref="J2:L2"/>
    <mergeCell ref="I9:I10"/>
    <mergeCell ref="J9:L9"/>
    <mergeCell ref="I16:I17"/>
    <mergeCell ref="A2:A3"/>
    <mergeCell ref="B2:D2"/>
    <mergeCell ref="E2:E3"/>
    <mergeCell ref="A9:A10"/>
    <mergeCell ref="B9:D9"/>
    <mergeCell ref="E9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B243-4C24-4E97-9857-E0918D536071}">
  <dimension ref="A1:P68"/>
  <sheetViews>
    <sheetView topLeftCell="A17" workbookViewId="0">
      <selection activeCell="O36" sqref="O36"/>
    </sheetView>
  </sheetViews>
  <sheetFormatPr defaultRowHeight="15" x14ac:dyDescent="0.25"/>
  <cols>
    <col min="1" max="1" width="12.42578125" customWidth="1"/>
  </cols>
  <sheetData>
    <row r="1" spans="1:16" x14ac:dyDescent="0.25">
      <c r="A1" t="s">
        <v>24</v>
      </c>
    </row>
    <row r="3" spans="1:16" x14ac:dyDescent="0.25">
      <c r="A3" t="s">
        <v>27</v>
      </c>
    </row>
    <row r="5" spans="1:16" ht="18" x14ac:dyDescent="0.35">
      <c r="A5" t="s">
        <v>28</v>
      </c>
    </row>
    <row r="7" spans="1:16" ht="18" x14ac:dyDescent="0.35">
      <c r="A7" t="s">
        <v>29</v>
      </c>
      <c r="B7">
        <f>Marginals!J10</f>
        <v>0.569620253164557</v>
      </c>
    </row>
    <row r="8" spans="1:16" ht="18" x14ac:dyDescent="0.35">
      <c r="A8" t="s">
        <v>26</v>
      </c>
      <c r="B8">
        <f>Marginals!J17</f>
        <v>0.25</v>
      </c>
    </row>
    <row r="9" spans="1:16" ht="18" x14ac:dyDescent="0.35">
      <c r="A9" t="s">
        <v>25</v>
      </c>
      <c r="B9">
        <f>Marginals!J24</f>
        <v>0.20253164556962025</v>
      </c>
    </row>
    <row r="11" spans="1:16" ht="18" x14ac:dyDescent="0.35">
      <c r="A11" t="s">
        <v>30</v>
      </c>
      <c r="B11">
        <f>B7*B8*B9</f>
        <v>2.8841531805800354E-2</v>
      </c>
    </row>
    <row r="13" spans="1:16" x14ac:dyDescent="0.25">
      <c r="A13" s="6" t="s">
        <v>31</v>
      </c>
      <c r="H13" s="48" t="s">
        <v>43</v>
      </c>
      <c r="I13" s="49"/>
      <c r="J13" s="50"/>
      <c r="K13" s="48" t="s">
        <v>46</v>
      </c>
      <c r="L13" s="49"/>
      <c r="M13" s="50"/>
      <c r="N13" s="48" t="s">
        <v>47</v>
      </c>
      <c r="O13" s="49"/>
      <c r="P13" s="50"/>
    </row>
    <row r="14" spans="1:16" ht="18" x14ac:dyDescent="0.35">
      <c r="A14" t="s">
        <v>18</v>
      </c>
      <c r="B14" t="s">
        <v>19</v>
      </c>
      <c r="C14" t="s">
        <v>21</v>
      </c>
      <c r="D14" t="s">
        <v>33</v>
      </c>
      <c r="E14" t="s">
        <v>34</v>
      </c>
      <c r="F14" t="s">
        <v>35</v>
      </c>
      <c r="G14" t="s">
        <v>32</v>
      </c>
      <c r="H14" t="s">
        <v>39</v>
      </c>
      <c r="I14" t="s">
        <v>40</v>
      </c>
      <c r="J14" t="s">
        <v>41</v>
      </c>
      <c r="K14" t="s">
        <v>39</v>
      </c>
      <c r="L14" t="s">
        <v>40</v>
      </c>
      <c r="M14" t="s">
        <v>41</v>
      </c>
      <c r="N14" t="s">
        <v>39</v>
      </c>
      <c r="O14" t="s">
        <v>40</v>
      </c>
      <c r="P14" t="s">
        <v>41</v>
      </c>
    </row>
    <row r="15" spans="1:16" x14ac:dyDescent="0.25">
      <c r="A15" t="s">
        <v>5</v>
      </c>
      <c r="B15" t="s">
        <v>10</v>
      </c>
      <c r="C15" t="s">
        <v>14</v>
      </c>
      <c r="D15">
        <f>Constraints!$M$4</f>
        <v>0.56000000000000005</v>
      </c>
      <c r="E15">
        <f>Constraints!$M$18</f>
        <v>0.3</v>
      </c>
      <c r="F15">
        <f>Constraints!$J$13</f>
        <v>0.5</v>
      </c>
      <c r="G15" s="44">
        <f>D15*E15*F15</f>
        <v>8.4000000000000005E-2</v>
      </c>
      <c r="H15" s="44">
        <f>G15*$E$36</f>
        <v>7.4999999999999983E-2</v>
      </c>
      <c r="I15" s="44">
        <f>H15*$E$45</f>
        <v>8.0357142857142835E-2</v>
      </c>
      <c r="J15">
        <f>I15*E54</f>
        <v>9.7377049180327843E-2</v>
      </c>
      <c r="K15">
        <f>J15*$I$36</f>
        <v>9.5576070076430389E-2</v>
      </c>
      <c r="L15">
        <f>K15*$I$45</f>
        <v>9.6492881998498217E-2</v>
      </c>
      <c r="M15">
        <f>L15*I54</f>
        <v>9.6752574608596806E-2</v>
      </c>
      <c r="N15">
        <f>M15*$M$36</f>
        <v>9.6462388003577967E-2</v>
      </c>
      <c r="O15">
        <f>N15*$M$45</f>
        <v>9.6506330417267139E-2</v>
      </c>
      <c r="P15" s="52">
        <f>O15*M54</f>
        <v>9.6534795495907932E-2</v>
      </c>
    </row>
    <row r="16" spans="1:16" x14ac:dyDescent="0.25">
      <c r="A16" t="s">
        <v>5</v>
      </c>
      <c r="B16" t="s">
        <v>10</v>
      </c>
      <c r="C16" t="s">
        <v>15</v>
      </c>
      <c r="D16">
        <f>Constraints!$M$4</f>
        <v>0.56000000000000005</v>
      </c>
      <c r="E16">
        <f>Constraints!$M$18</f>
        <v>0.3</v>
      </c>
      <c r="F16">
        <f>Constraints!$K$13</f>
        <v>0.30000000000000004</v>
      </c>
      <c r="G16" s="44">
        <f t="shared" ref="G16:G32" si="0">D16*E16*F16</f>
        <v>5.0400000000000007E-2</v>
      </c>
      <c r="H16" s="44">
        <f t="shared" ref="H16:H17" si="1">G16*$E$36</f>
        <v>4.4999999999999991E-2</v>
      </c>
      <c r="I16" s="44">
        <f>H16*$E$46</f>
        <v>4.2857142857142858E-2</v>
      </c>
      <c r="J16">
        <f t="shared" ref="J16:J23" si="2">I16*E55</f>
        <v>3.7849462365591398E-2</v>
      </c>
      <c r="K16">
        <f t="shared" ref="K16:K18" si="3">J16*$I$36</f>
        <v>3.7149440220866622E-2</v>
      </c>
      <c r="L16">
        <f>K16*$I$46</f>
        <v>3.691070308452031E-2</v>
      </c>
      <c r="M16">
        <f t="shared" ref="M16:M32" si="4">L16*I55</f>
        <v>3.6830085619236314E-2</v>
      </c>
      <c r="N16">
        <f t="shared" ref="N16:N18" si="5">M16*$M$36</f>
        <v>3.6719622434647839E-2</v>
      </c>
      <c r="O16">
        <f>N16*$M$46</f>
        <v>3.6708421131435895E-2</v>
      </c>
      <c r="P16" s="52">
        <f t="shared" ref="P16:P24" si="6">O16*M55</f>
        <v>3.6698783595128757E-2</v>
      </c>
    </row>
    <row r="17" spans="1:16" x14ac:dyDescent="0.25">
      <c r="A17" t="s">
        <v>5</v>
      </c>
      <c r="B17" t="s">
        <v>10</v>
      </c>
      <c r="C17" t="s">
        <v>16</v>
      </c>
      <c r="D17">
        <f>Constraints!$M$4</f>
        <v>0.56000000000000005</v>
      </c>
      <c r="E17">
        <f>Constraints!$M$18</f>
        <v>0.3</v>
      </c>
      <c r="F17">
        <f>Constraints!$L$13</f>
        <v>0.2</v>
      </c>
      <c r="G17" s="44">
        <f t="shared" si="0"/>
        <v>3.3600000000000005E-2</v>
      </c>
      <c r="H17" s="44">
        <f t="shared" si="1"/>
        <v>2.9999999999999995E-2</v>
      </c>
      <c r="I17" s="44">
        <f>H17*$E$47</f>
        <v>2.6785714285714284E-2</v>
      </c>
      <c r="J17">
        <f t="shared" si="2"/>
        <v>1.7600000000000001E-2</v>
      </c>
      <c r="K17">
        <f t="shared" si="3"/>
        <v>1.727448970270298E-2</v>
      </c>
      <c r="L17">
        <f>K17*$I$47</f>
        <v>1.6966458832370985E-2</v>
      </c>
      <c r="M17">
        <f t="shared" si="4"/>
        <v>1.6868582911111485E-2</v>
      </c>
      <c r="N17">
        <f t="shared" si="5"/>
        <v>1.6817989561774202E-2</v>
      </c>
      <c r="O17">
        <f>N17*$M$47</f>
        <v>1.6803240221533948E-2</v>
      </c>
      <c r="P17" s="52">
        <f t="shared" si="6"/>
        <v>1.6791724498794187E-2</v>
      </c>
    </row>
    <row r="18" spans="1:16" x14ac:dyDescent="0.25">
      <c r="A18" t="s">
        <v>5</v>
      </c>
      <c r="B18" t="s">
        <v>11</v>
      </c>
      <c r="C18" t="s">
        <v>14</v>
      </c>
      <c r="D18">
        <f>Constraints!$M$4</f>
        <v>0.56000000000000005</v>
      </c>
      <c r="E18">
        <f>Constraints!$M$19</f>
        <v>0.42</v>
      </c>
      <c r="F18">
        <f>Constraints!$J$13</f>
        <v>0.5</v>
      </c>
      <c r="G18" s="44">
        <f t="shared" si="0"/>
        <v>0.11760000000000001</v>
      </c>
      <c r="H18" s="44">
        <f>G18*$E$37</f>
        <v>0.125</v>
      </c>
      <c r="I18" s="44">
        <f>H18*$E$45</f>
        <v>0.13392857142857142</v>
      </c>
      <c r="J18">
        <f t="shared" si="2"/>
        <v>0.13316679477325133</v>
      </c>
      <c r="K18">
        <f>J18*$I$37</f>
        <v>0.13315078624460297</v>
      </c>
      <c r="L18">
        <f>K18*$I$45</f>
        <v>0.13442803302995557</v>
      </c>
      <c r="M18">
        <f t="shared" si="4"/>
        <v>0.13430476930934915</v>
      </c>
      <c r="N18">
        <f>M18*$M$37</f>
        <v>0.13431182768579297</v>
      </c>
      <c r="O18">
        <f>N18*$M$45</f>
        <v>0.13437301200869506</v>
      </c>
      <c r="P18" s="52">
        <f t="shared" si="6"/>
        <v>0.13436674183659997</v>
      </c>
    </row>
    <row r="19" spans="1:16" x14ac:dyDescent="0.25">
      <c r="A19" t="s">
        <v>5</v>
      </c>
      <c r="B19" t="s">
        <v>11</v>
      </c>
      <c r="C19" t="s">
        <v>15</v>
      </c>
      <c r="D19">
        <f>Constraints!$M$4</f>
        <v>0.56000000000000005</v>
      </c>
      <c r="E19">
        <f>Constraints!$M$19</f>
        <v>0.42</v>
      </c>
      <c r="F19">
        <f>Constraints!$K$13</f>
        <v>0.30000000000000004</v>
      </c>
      <c r="G19" s="44">
        <f t="shared" si="0"/>
        <v>7.0560000000000012E-2</v>
      </c>
      <c r="H19" s="44">
        <f t="shared" ref="H19:H21" si="7">G19*$E$37</f>
        <v>7.5000000000000011E-2</v>
      </c>
      <c r="I19" s="44">
        <f>H19*$E$46</f>
        <v>7.1428571428571452E-2</v>
      </c>
      <c r="J19">
        <f t="shared" si="2"/>
        <v>7.3978272115882052E-2</v>
      </c>
      <c r="K19">
        <f t="shared" ref="K19:K21" si="8">J19*$I$37</f>
        <v>7.3969378883221915E-2</v>
      </c>
      <c r="L19">
        <f>K19*$I$46</f>
        <v>7.3494022119111727E-2</v>
      </c>
      <c r="M19">
        <f t="shared" si="4"/>
        <v>7.3537792848672207E-2</v>
      </c>
      <c r="N19">
        <f t="shared" ref="N19:N21" si="9">M19*$M$37</f>
        <v>7.3541657621512685E-2</v>
      </c>
      <c r="O19">
        <f>N19*$M$46</f>
        <v>7.351922377412784E-2</v>
      </c>
      <c r="P19" s="52">
        <f t="shared" si="6"/>
        <v>7.3523039023844466E-2</v>
      </c>
    </row>
    <row r="20" spans="1:16" x14ac:dyDescent="0.25">
      <c r="A20" t="s">
        <v>5</v>
      </c>
      <c r="B20" t="s">
        <v>11</v>
      </c>
      <c r="C20" t="s">
        <v>16</v>
      </c>
      <c r="D20">
        <f>Constraints!$M$4</f>
        <v>0.56000000000000005</v>
      </c>
      <c r="E20">
        <f>Constraints!$M$19</f>
        <v>0.42</v>
      </c>
      <c r="F20">
        <f>Constraints!$L$13</f>
        <v>0.2</v>
      </c>
      <c r="G20" s="44">
        <f t="shared" si="0"/>
        <v>4.7040000000000005E-2</v>
      </c>
      <c r="H20" s="44">
        <f t="shared" si="7"/>
        <v>0.05</v>
      </c>
      <c r="I20" s="44">
        <f>H20*$E$47</f>
        <v>4.4642857142857151E-2</v>
      </c>
      <c r="J20">
        <f t="shared" si="2"/>
        <v>4.2884990253411311E-2</v>
      </c>
      <c r="K20">
        <f t="shared" si="8"/>
        <v>4.2879834872175129E-2</v>
      </c>
      <c r="L20">
        <f>K20*$I$47</f>
        <v>4.2115221092973214E-2</v>
      </c>
      <c r="M20">
        <f t="shared" si="4"/>
        <v>4.2144299802378146E-2</v>
      </c>
      <c r="N20">
        <f t="shared" si="9"/>
        <v>4.214651469269437E-2</v>
      </c>
      <c r="O20">
        <f>N20*$M$47</f>
        <v>4.2109552291043441E-2</v>
      </c>
      <c r="P20" s="52">
        <f t="shared" si="6"/>
        <v>4.2109648710658025E-2</v>
      </c>
    </row>
    <row r="21" spans="1:16" x14ac:dyDescent="0.25">
      <c r="A21" t="s">
        <v>5</v>
      </c>
      <c r="B21" t="s">
        <v>12</v>
      </c>
      <c r="C21" t="s">
        <v>14</v>
      </c>
      <c r="D21">
        <f>Constraints!$M$4</f>
        <v>0.56000000000000005</v>
      </c>
      <c r="E21">
        <f>Constraints!$M$20</f>
        <v>0.28000000000000003</v>
      </c>
      <c r="F21">
        <f>Constraints!$J$13</f>
        <v>0.5</v>
      </c>
      <c r="G21" s="44">
        <f t="shared" si="0"/>
        <v>7.8400000000000011E-2</v>
      </c>
      <c r="H21" s="44">
        <f>G21*$E$38</f>
        <v>0.08</v>
      </c>
      <c r="I21" s="44">
        <f>H21*$E$45</f>
        <v>8.5714285714285715E-2</v>
      </c>
      <c r="J21">
        <f t="shared" si="2"/>
        <v>6.7222222222222225E-2</v>
      </c>
      <c r="K21">
        <f>J21*$I$38</f>
        <v>6.8422740924651296E-2</v>
      </c>
      <c r="L21">
        <f>K21*$I$45</f>
        <v>6.9079084971546231E-2</v>
      </c>
      <c r="M21">
        <f t="shared" si="4"/>
        <v>6.8897196337856834E-2</v>
      </c>
      <c r="N21">
        <f>M21*$M$38</f>
        <v>6.9089184731619485E-2</v>
      </c>
      <c r="O21">
        <f>N21*$M$45</f>
        <v>6.9120657574037736E-2</v>
      </c>
      <c r="P21" s="52">
        <f t="shared" si="6"/>
        <v>6.9093474457140869E-2</v>
      </c>
    </row>
    <row r="22" spans="1:16" x14ac:dyDescent="0.25">
      <c r="A22" t="s">
        <v>5</v>
      </c>
      <c r="B22" t="s">
        <v>12</v>
      </c>
      <c r="C22" t="s">
        <v>15</v>
      </c>
      <c r="D22">
        <f>Constraints!$M$4</f>
        <v>0.56000000000000005</v>
      </c>
      <c r="E22">
        <f>Constraints!$M$20</f>
        <v>0.28000000000000003</v>
      </c>
      <c r="F22">
        <f>Constraints!$K$13</f>
        <v>0.30000000000000004</v>
      </c>
      <c r="G22" s="44">
        <f t="shared" si="0"/>
        <v>4.7040000000000012E-2</v>
      </c>
      <c r="H22" s="44">
        <f t="shared" ref="H22:H24" si="10">G22*$E$38</f>
        <v>4.8000000000000001E-2</v>
      </c>
      <c r="I22" s="44">
        <f>H22*$E$46</f>
        <v>4.5714285714285721E-2</v>
      </c>
      <c r="J22">
        <f t="shared" si="2"/>
        <v>4.9040247678018581E-2</v>
      </c>
      <c r="K22">
        <f t="shared" ref="K22:K24" si="11">J22*$I$38</f>
        <v>4.9916055298816819E-2</v>
      </c>
      <c r="L22">
        <f>K22*$I$46</f>
        <v>4.9595274796367952E-2</v>
      </c>
      <c r="M22">
        <f t="shared" si="4"/>
        <v>4.9649190710135391E-2</v>
      </c>
      <c r="N22">
        <f t="shared" ref="N22:N24" si="12">M22*$M$38</f>
        <v>4.9787542760475888E-2</v>
      </c>
      <c r="O22">
        <f>N22*$M$46</f>
        <v>4.9772355094436282E-2</v>
      </c>
      <c r="P22" s="52">
        <f t="shared" si="6"/>
        <v>4.9780244158952915E-2</v>
      </c>
    </row>
    <row r="23" spans="1:16" x14ac:dyDescent="0.25">
      <c r="A23" t="s">
        <v>5</v>
      </c>
      <c r="B23" t="s">
        <v>12</v>
      </c>
      <c r="C23" t="s">
        <v>16</v>
      </c>
      <c r="D23">
        <f>Constraints!$M$4</f>
        <v>0.56000000000000005</v>
      </c>
      <c r="E23">
        <f>Constraints!$M$20</f>
        <v>0.28000000000000003</v>
      </c>
      <c r="F23">
        <f>Constraints!$L$13</f>
        <v>0.2</v>
      </c>
      <c r="G23" s="44">
        <f t="shared" si="0"/>
        <v>3.1360000000000006E-2</v>
      </c>
      <c r="H23" s="44">
        <f t="shared" si="10"/>
        <v>3.2000000000000001E-2</v>
      </c>
      <c r="I23" s="44">
        <f>H23*$E$47</f>
        <v>2.8571428571428574E-2</v>
      </c>
      <c r="J23">
        <f t="shared" si="2"/>
        <v>4.0930232558139538E-2</v>
      </c>
      <c r="K23">
        <f t="shared" si="11"/>
        <v>4.1661203776531867E-2</v>
      </c>
      <c r="L23">
        <f>K23*$I$47</f>
        <v>4.0918320074655817E-2</v>
      </c>
      <c r="M23">
        <f t="shared" si="4"/>
        <v>4.1008997154016381E-2</v>
      </c>
      <c r="N23">
        <f t="shared" si="12"/>
        <v>4.112327250790463E-2</v>
      </c>
      <c r="O23">
        <f>N23*$M$47</f>
        <v>4.108720748742261E-2</v>
      </c>
      <c r="P23" s="52">
        <f t="shared" si="6"/>
        <v>4.1101206929415081E-2</v>
      </c>
    </row>
    <row r="24" spans="1:16" x14ac:dyDescent="0.25">
      <c r="A24" t="s">
        <v>6</v>
      </c>
      <c r="B24" t="s">
        <v>10</v>
      </c>
      <c r="C24" t="s">
        <v>14</v>
      </c>
      <c r="D24">
        <f>Constraints!$M$5</f>
        <v>0.44</v>
      </c>
      <c r="E24">
        <f>Constraints!$M$18</f>
        <v>0.3</v>
      </c>
      <c r="F24">
        <f>Constraints!$J$13</f>
        <v>0.5</v>
      </c>
      <c r="G24" s="44">
        <f t="shared" si="0"/>
        <v>6.6000000000000003E-2</v>
      </c>
      <c r="H24" s="44">
        <f>G24*$E$39</f>
        <v>7.4999999999999997E-2</v>
      </c>
      <c r="I24" s="44">
        <f>H24*$E$48</f>
        <v>6.8181818181818191E-2</v>
      </c>
      <c r="J24">
        <f>I24*E54</f>
        <v>8.262295081967215E-2</v>
      </c>
      <c r="K24">
        <f>J24*$I$39</f>
        <v>8.4209749684758389E-2</v>
      </c>
      <c r="L24">
        <f>K24*$I$48</f>
        <v>8.30239818161667E-2</v>
      </c>
      <c r="M24">
        <f>L24*I54</f>
        <v>8.3247425391403201E-2</v>
      </c>
      <c r="N24">
        <f>M24*$M$39</f>
        <v>8.3498613233623606E-2</v>
      </c>
      <c r="O24">
        <f>N24*$M$48</f>
        <v>8.3440593237265714E-2</v>
      </c>
      <c r="P24" s="52">
        <f>O24*M54</f>
        <v>8.3465204504092075E-2</v>
      </c>
    </row>
    <row r="25" spans="1:16" x14ac:dyDescent="0.25">
      <c r="A25" t="s">
        <v>6</v>
      </c>
      <c r="B25" t="s">
        <v>10</v>
      </c>
      <c r="C25" t="s">
        <v>15</v>
      </c>
      <c r="D25">
        <f>Constraints!$M$5</f>
        <v>0.44</v>
      </c>
      <c r="E25">
        <f>Constraints!$M$18</f>
        <v>0.3</v>
      </c>
      <c r="F25">
        <f>Constraints!$K$13</f>
        <v>0.30000000000000004</v>
      </c>
      <c r="G25" s="44">
        <f t="shared" si="0"/>
        <v>3.960000000000001E-2</v>
      </c>
      <c r="H25" s="44">
        <f t="shared" ref="H25:H27" si="13">G25*$E$39</f>
        <v>4.5000000000000005E-2</v>
      </c>
      <c r="I25" s="44">
        <f>H25*$E$49</f>
        <v>4.7727272727272729E-2</v>
      </c>
      <c r="J25">
        <f t="shared" ref="J25:J32" si="14">I25*E55</f>
        <v>4.2150537634408604E-2</v>
      </c>
      <c r="K25">
        <f t="shared" ref="K25:K27" si="15">J25*$I$39</f>
        <v>4.2960051511818191E-2</v>
      </c>
      <c r="L25">
        <f>K25*$I$49</f>
        <v>4.3264409112866262E-2</v>
      </c>
      <c r="M25">
        <f t="shared" ref="M25:M32" si="16">L25*I55</f>
        <v>4.3169914380763688E-2</v>
      </c>
      <c r="N25">
        <f t="shared" ref="N25:N27" si="17">M25*$M$39</f>
        <v>4.3300173756247791E-2</v>
      </c>
      <c r="O25">
        <f>N25*$M$49</f>
        <v>4.3312587818426784E-2</v>
      </c>
      <c r="P25" s="52">
        <f t="shared" ref="P25:P32" si="18">O25*M55</f>
        <v>4.3301216404871251E-2</v>
      </c>
    </row>
    <row r="26" spans="1:16" x14ac:dyDescent="0.25">
      <c r="A26" t="s">
        <v>6</v>
      </c>
      <c r="B26" t="s">
        <v>10</v>
      </c>
      <c r="C26" t="s">
        <v>16</v>
      </c>
      <c r="D26">
        <f>Constraints!$M$5</f>
        <v>0.44</v>
      </c>
      <c r="E26">
        <f>Constraints!$M$18</f>
        <v>0.3</v>
      </c>
      <c r="F26">
        <f>Constraints!$L$13</f>
        <v>0.2</v>
      </c>
      <c r="G26" s="44">
        <f t="shared" si="0"/>
        <v>2.6400000000000003E-2</v>
      </c>
      <c r="H26" s="44">
        <f t="shared" si="13"/>
        <v>0.03</v>
      </c>
      <c r="I26" s="44">
        <f>H26*$E$50</f>
        <v>3.4090909090909095E-2</v>
      </c>
      <c r="J26">
        <f t="shared" si="14"/>
        <v>2.2400000000000003E-2</v>
      </c>
      <c r="K26">
        <f t="shared" si="15"/>
        <v>2.2830198803423386E-2</v>
      </c>
      <c r="L26">
        <f>K26*$I$50</f>
        <v>2.3265631608836216E-2</v>
      </c>
      <c r="M26">
        <f t="shared" si="16"/>
        <v>2.3131417088888519E-2</v>
      </c>
      <c r="N26">
        <f t="shared" si="17"/>
        <v>2.3201213010128601E-2</v>
      </c>
      <c r="O26">
        <f>N26*$M$50</f>
        <v>2.3224191678603734E-2</v>
      </c>
      <c r="P26" s="52">
        <f t="shared" si="18"/>
        <v>2.320827550120581E-2</v>
      </c>
    </row>
    <row r="27" spans="1:16" x14ac:dyDescent="0.25">
      <c r="A27" t="s">
        <v>6</v>
      </c>
      <c r="B27" t="s">
        <v>11</v>
      </c>
      <c r="C27" t="s">
        <v>14</v>
      </c>
      <c r="D27">
        <f>Constraints!$M$5</f>
        <v>0.44</v>
      </c>
      <c r="E27">
        <f>Constraints!$M$19</f>
        <v>0.42</v>
      </c>
      <c r="F27">
        <f>Constraints!$J$13</f>
        <v>0.5</v>
      </c>
      <c r="G27" s="44">
        <f t="shared" si="0"/>
        <v>9.2399999999999996E-2</v>
      </c>
      <c r="H27" s="44">
        <f>G27*$E$40</f>
        <v>8.5000000000000006E-2</v>
      </c>
      <c r="I27" s="44">
        <f>H27*$E$48</f>
        <v>7.7272727272727285E-2</v>
      </c>
      <c r="J27">
        <f t="shared" si="14"/>
        <v>7.6833205226748663E-2</v>
      </c>
      <c r="K27">
        <f>J27*$I$40</f>
        <v>7.6846792256095392E-2</v>
      </c>
      <c r="L27">
        <f>K27*$I$48</f>
        <v>7.5764703098928465E-2</v>
      </c>
      <c r="M27">
        <f t="shared" si="16"/>
        <v>7.5695230690650844E-2</v>
      </c>
      <c r="N27">
        <f>M27*$M$40</f>
        <v>7.5689381219546145E-2</v>
      </c>
      <c r="O27">
        <f>N27*$M$48</f>
        <v>7.5636787560171212E-2</v>
      </c>
      <c r="P27" s="52">
        <f t="shared" si="18"/>
        <v>7.5633258163399997E-2</v>
      </c>
    </row>
    <row r="28" spans="1:16" x14ac:dyDescent="0.25">
      <c r="A28" t="s">
        <v>6</v>
      </c>
      <c r="B28" t="s">
        <v>11</v>
      </c>
      <c r="C28" t="s">
        <v>15</v>
      </c>
      <c r="D28">
        <f>Constraints!$M$5</f>
        <v>0.44</v>
      </c>
      <c r="E28">
        <f>Constraints!$M$19</f>
        <v>0.42</v>
      </c>
      <c r="F28">
        <f>Constraints!$K$13</f>
        <v>0.30000000000000004</v>
      </c>
      <c r="G28" s="44">
        <f t="shared" si="0"/>
        <v>5.5440000000000003E-2</v>
      </c>
      <c r="H28" s="44">
        <f t="shared" ref="H28:H30" si="19">G28*$E$40</f>
        <v>5.1000000000000011E-2</v>
      </c>
      <c r="I28" s="44">
        <f>H28*$E$49</f>
        <v>5.4090909090909099E-2</v>
      </c>
      <c r="J28">
        <f t="shared" si="14"/>
        <v>5.6021727884117939E-2</v>
      </c>
      <c r="K28">
        <f t="shared" ref="K28:K30" si="20">J28*$I$40</f>
        <v>5.603163465370499E-2</v>
      </c>
      <c r="L28">
        <f>K28*$I$49</f>
        <v>5.6428600050762584E-2</v>
      </c>
      <c r="M28">
        <f t="shared" si="16"/>
        <v>5.6462207151327784E-2</v>
      </c>
      <c r="N28">
        <f t="shared" ref="N28:N30" si="21">M28*$M$40</f>
        <v>5.6457843943154354E-2</v>
      </c>
      <c r="O28">
        <f>N28*$M$49</f>
        <v>5.6474030279706898E-2</v>
      </c>
      <c r="P28" s="52">
        <f t="shared" si="18"/>
        <v>5.6476960976155538E-2</v>
      </c>
    </row>
    <row r="29" spans="1:16" x14ac:dyDescent="0.25">
      <c r="A29" t="s">
        <v>6</v>
      </c>
      <c r="B29" t="s">
        <v>11</v>
      </c>
      <c r="C29" t="s">
        <v>16</v>
      </c>
      <c r="D29">
        <f>Constraints!$M$5</f>
        <v>0.44</v>
      </c>
      <c r="E29">
        <f>Constraints!$M$19</f>
        <v>0.42</v>
      </c>
      <c r="F29">
        <f>Constraints!$L$13</f>
        <v>0.2</v>
      </c>
      <c r="G29" s="44">
        <f t="shared" si="0"/>
        <v>3.696E-2</v>
      </c>
      <c r="H29" s="44">
        <f t="shared" si="19"/>
        <v>3.4000000000000002E-2</v>
      </c>
      <c r="I29" s="44">
        <f>H29*$E$50</f>
        <v>3.8636363636363642E-2</v>
      </c>
      <c r="J29">
        <f t="shared" si="14"/>
        <v>3.7115009746588698E-2</v>
      </c>
      <c r="K29">
        <f t="shared" si="20"/>
        <v>3.712157309019961E-2</v>
      </c>
      <c r="L29">
        <f>K29*$I$50</f>
        <v>3.7829580534689287E-2</v>
      </c>
      <c r="M29">
        <f t="shared" si="16"/>
        <v>3.7855700197621849E-2</v>
      </c>
      <c r="N29">
        <f t="shared" si="21"/>
        <v>3.7852774837299492E-2</v>
      </c>
      <c r="O29">
        <f>N29*$M$50</f>
        <v>3.7890264530768124E-2</v>
      </c>
      <c r="P29" s="52">
        <f t="shared" si="18"/>
        <v>3.7890351289341984E-2</v>
      </c>
    </row>
    <row r="30" spans="1:16" x14ac:dyDescent="0.25">
      <c r="A30" t="s">
        <v>6</v>
      </c>
      <c r="B30" t="s">
        <v>12</v>
      </c>
      <c r="C30" t="s">
        <v>14</v>
      </c>
      <c r="D30">
        <f>Constraints!$M$5</f>
        <v>0.44</v>
      </c>
      <c r="E30">
        <f>Constraints!$M$20</f>
        <v>0.28000000000000003</v>
      </c>
      <c r="F30">
        <f>Constraints!$J$13</f>
        <v>0.5</v>
      </c>
      <c r="G30" s="44">
        <f t="shared" si="0"/>
        <v>6.1600000000000009E-2</v>
      </c>
      <c r="H30" s="44">
        <f>G30*$E$41</f>
        <v>5.9999999999999991E-2</v>
      </c>
      <c r="I30" s="44">
        <f>H30*$E$48</f>
        <v>5.4545454545454543E-2</v>
      </c>
      <c r="J30">
        <f t="shared" si="14"/>
        <v>4.2777777777777783E-2</v>
      </c>
      <c r="K30">
        <f>J30*$I$41</f>
        <v>4.1799904696979716E-2</v>
      </c>
      <c r="L30">
        <f>K30*$I$48</f>
        <v>4.1211315084904852E-2</v>
      </c>
      <c r="M30">
        <f t="shared" si="16"/>
        <v>4.1102803662143181E-2</v>
      </c>
      <c r="N30">
        <f>M30*$M$41</f>
        <v>4.0951074539767311E-2</v>
      </c>
      <c r="O30">
        <f>N30*$M$48</f>
        <v>4.0922619202563078E-2</v>
      </c>
      <c r="P30" s="52">
        <f t="shared" si="18"/>
        <v>4.0906525542859139E-2</v>
      </c>
    </row>
    <row r="31" spans="1:16" x14ac:dyDescent="0.25">
      <c r="A31" t="s">
        <v>6</v>
      </c>
      <c r="B31" t="s">
        <v>12</v>
      </c>
      <c r="C31" t="s">
        <v>15</v>
      </c>
      <c r="D31">
        <f>Constraints!$M$5</f>
        <v>0.44</v>
      </c>
      <c r="E31">
        <f>Constraints!$M$20</f>
        <v>0.28000000000000003</v>
      </c>
      <c r="F31">
        <f>Constraints!$K$13</f>
        <v>0.30000000000000004</v>
      </c>
      <c r="G31" s="44">
        <f t="shared" si="0"/>
        <v>3.6960000000000014E-2</v>
      </c>
      <c r="H31" s="44">
        <f t="shared" ref="H31:H32" si="22">G31*$E$41</f>
        <v>3.5999999999999997E-2</v>
      </c>
      <c r="I31" s="44">
        <f>H31*$E$49</f>
        <v>3.8181818181818178E-2</v>
      </c>
      <c r="J31">
        <f t="shared" si="14"/>
        <v>4.0959752321981416E-2</v>
      </c>
      <c r="K31">
        <f t="shared" ref="K31:K32" si="23">J31*$I$41</f>
        <v>4.0023438159055715E-2</v>
      </c>
      <c r="L31">
        <f>K31*$I$49</f>
        <v>4.0306990836371175E-2</v>
      </c>
      <c r="M31">
        <f t="shared" si="16"/>
        <v>4.0350809289864606E-2</v>
      </c>
      <c r="N31">
        <f t="shared" ref="N31:N32" si="24">M31*$M$41</f>
        <v>4.0201856120367169E-2</v>
      </c>
      <c r="O31">
        <f>N31*$M$49</f>
        <v>4.021338190186631E-2</v>
      </c>
      <c r="P31" s="52">
        <f t="shared" si="18"/>
        <v>4.0219755841047082E-2</v>
      </c>
    </row>
    <row r="32" spans="1:16" x14ac:dyDescent="0.25">
      <c r="A32" t="s">
        <v>6</v>
      </c>
      <c r="B32" t="s">
        <v>12</v>
      </c>
      <c r="C32" t="s">
        <v>16</v>
      </c>
      <c r="D32">
        <f>Constraints!$M$5</f>
        <v>0.44</v>
      </c>
      <c r="E32">
        <f>Constraints!$M$20</f>
        <v>0.28000000000000003</v>
      </c>
      <c r="F32">
        <f>Constraints!$L$13</f>
        <v>0.2</v>
      </c>
      <c r="G32" s="44">
        <f t="shared" si="0"/>
        <v>2.4640000000000006E-2</v>
      </c>
      <c r="H32" s="44">
        <f t="shared" si="22"/>
        <v>2.3999999999999997E-2</v>
      </c>
      <c r="I32" s="44">
        <f>H32*$E$50</f>
        <v>2.7272727272727271E-2</v>
      </c>
      <c r="J32">
        <f t="shared" si="14"/>
        <v>3.9069767441860463E-2</v>
      </c>
      <c r="K32">
        <f t="shared" si="23"/>
        <v>3.8176657143964551E-2</v>
      </c>
      <c r="L32">
        <f>K32*$I$50</f>
        <v>3.8904787856474492E-2</v>
      </c>
      <c r="M32">
        <f t="shared" si="16"/>
        <v>3.899100284598362E-2</v>
      </c>
      <c r="N32">
        <f t="shared" si="24"/>
        <v>3.8847069339865523E-2</v>
      </c>
      <c r="O32">
        <f>N32*$M$50</f>
        <v>3.8885543790628148E-2</v>
      </c>
      <c r="P32" s="52">
        <f t="shared" si="18"/>
        <v>3.8898793070584914E-2</v>
      </c>
    </row>
    <row r="34" spans="1:15" x14ac:dyDescent="0.25">
      <c r="A34" s="6" t="s">
        <v>20</v>
      </c>
    </row>
    <row r="35" spans="1:15" x14ac:dyDescent="0.25">
      <c r="A35" t="s">
        <v>18</v>
      </c>
      <c r="B35" t="s">
        <v>19</v>
      </c>
      <c r="C35" t="s">
        <v>36</v>
      </c>
      <c r="D35" t="s">
        <v>37</v>
      </c>
      <c r="E35" t="s">
        <v>38</v>
      </c>
      <c r="F35" t="s">
        <v>43</v>
      </c>
      <c r="G35" t="s">
        <v>44</v>
      </c>
      <c r="H35" t="s">
        <v>36</v>
      </c>
      <c r="I35" t="s">
        <v>38</v>
      </c>
      <c r="J35" t="s">
        <v>46</v>
      </c>
      <c r="K35" t="s">
        <v>44</v>
      </c>
      <c r="L35" t="s">
        <v>36</v>
      </c>
      <c r="M35" t="s">
        <v>38</v>
      </c>
      <c r="N35" t="s">
        <v>46</v>
      </c>
      <c r="O35" t="s">
        <v>44</v>
      </c>
    </row>
    <row r="36" spans="1:15" x14ac:dyDescent="0.25">
      <c r="A36" t="s">
        <v>5</v>
      </c>
      <c r="B36" t="s">
        <v>10</v>
      </c>
      <c r="C36">
        <f>SUMIFS($G$15:$G$32,$A$15:$A$32,$A36,$B$15:$B$32,$B36)</f>
        <v>0.16800000000000004</v>
      </c>
      <c r="D36">
        <f>Constraints!$J$4</f>
        <v>0.15</v>
      </c>
      <c r="E36" s="44">
        <f>D36/C36</f>
        <v>0.89285714285714257</v>
      </c>
      <c r="F36" s="44">
        <f>SUMIFS($J$15:$J$32,$A$15:$A$32,$A36,$B$15:$B$32,$B36)</f>
        <v>0.15282651154591925</v>
      </c>
      <c r="G36">
        <f>ABS($D36-F36)</f>
        <v>2.826511545919258E-3</v>
      </c>
      <c r="H36">
        <f>SUMIFS($J$15:$J$32,$A$15:$A$32,$A36,$B$15:$B$32,$B36)</f>
        <v>0.15282651154591925</v>
      </c>
      <c r="I36">
        <f>$D36/H36</f>
        <v>0.98150509674448738</v>
      </c>
      <c r="J36" s="44">
        <f>SUMIFS($M$15:$M$32,$A$15:$A$32,$A36,$B$15:$B$32,$B36)</f>
        <v>0.15045124313894459</v>
      </c>
      <c r="K36">
        <f>ABS($D36-J36)</f>
        <v>4.5124313894459589E-4</v>
      </c>
      <c r="L36">
        <f>SUMIFS($M$15:$M$32,$A$15:$A$32,$A36,$B$15:$B$32,$B36)</f>
        <v>0.15045124313894459</v>
      </c>
      <c r="M36">
        <f>$D36/L36</f>
        <v>0.99700073505854736</v>
      </c>
      <c r="N36" s="44">
        <f>SUMIFS($P$15:$P$32,$A$15:$A$32,$A36,$B$15:$B$32,$B36)</f>
        <v>0.15002530358983088</v>
      </c>
      <c r="O36">
        <f>ABS($D36-N36)</f>
        <v>2.5303589830882878E-5</v>
      </c>
    </row>
    <row r="37" spans="1:15" x14ac:dyDescent="0.25">
      <c r="A37" t="s">
        <v>5</v>
      </c>
      <c r="B37" t="s">
        <v>11</v>
      </c>
      <c r="C37">
        <f t="shared" ref="C37:C41" si="25">SUMIFS($G$15:$G$32,$A$15:$A$32,$A37,$B$15:$B$32,$B37)</f>
        <v>0.23520000000000002</v>
      </c>
      <c r="D37">
        <f>Constraints!$K$4</f>
        <v>0.25</v>
      </c>
      <c r="E37" s="44">
        <f t="shared" ref="E37:E41" si="26">D37/C37</f>
        <v>1.0629251700680271</v>
      </c>
      <c r="F37" s="44">
        <f t="shared" ref="F37:F41" si="27">SUMIFS($J$15:$J$32,$A$15:$A$32,$A37,$B$15:$B$32,$B37)</f>
        <v>0.25003005714254467</v>
      </c>
      <c r="G37">
        <f t="shared" ref="G37:G41" si="28">ABS($D37-F37)</f>
        <v>3.0057142544670512E-5</v>
      </c>
      <c r="H37">
        <f t="shared" ref="H37:H41" si="29">SUMIFS($J$15:$J$32,$A$15:$A$32,$A37,$B$15:$B$32,$B37)</f>
        <v>0.25003005714254467</v>
      </c>
      <c r="I37">
        <f t="shared" ref="I37:I41" si="30">$D37/H37</f>
        <v>0.99987978588299276</v>
      </c>
      <c r="J37" s="44">
        <f t="shared" ref="J37:J41" si="31">SUMIFS($M$15:$M$32,$A$15:$A$32,$A37,$B$15:$B$32,$B37)</f>
        <v>0.24998686196039949</v>
      </c>
      <c r="K37">
        <f t="shared" ref="K37:K41" si="32">ABS($D37-J37)</f>
        <v>1.3138039600513185E-5</v>
      </c>
      <c r="L37">
        <f t="shared" ref="L37:L41" si="33">SUMIFS($M$15:$M$32,$A$15:$A$32,$A37,$B$15:$B$32,$B37)</f>
        <v>0.24998686196039949</v>
      </c>
      <c r="M37">
        <f t="shared" ref="M37:M41" si="34">$D37/L37</f>
        <v>1.0000525549202766</v>
      </c>
      <c r="N37" s="44">
        <f t="shared" ref="N37:N41" si="35">SUMIFS($P$15:$P$32,$A$15:$A$32,$A37,$B$15:$B$32,$B37)</f>
        <v>0.24999942957110247</v>
      </c>
      <c r="O37">
        <f t="shared" ref="O37:O41" si="36">ABS($D37-N37)</f>
        <v>5.7042889753389225E-7</v>
      </c>
    </row>
    <row r="38" spans="1:15" x14ac:dyDescent="0.25">
      <c r="A38" t="s">
        <v>5</v>
      </c>
      <c r="B38" t="s">
        <v>12</v>
      </c>
      <c r="C38">
        <f t="shared" si="25"/>
        <v>0.15680000000000002</v>
      </c>
      <c r="D38">
        <f>Constraints!$L$4</f>
        <v>0.16</v>
      </c>
      <c r="E38" s="44">
        <f t="shared" si="26"/>
        <v>1.0204081632653059</v>
      </c>
      <c r="F38" s="44">
        <f t="shared" si="27"/>
        <v>0.15719270245838035</v>
      </c>
      <c r="G38">
        <f t="shared" si="28"/>
        <v>2.8072975416196522E-3</v>
      </c>
      <c r="H38">
        <f t="shared" si="29"/>
        <v>0.15719270245838035</v>
      </c>
      <c r="I38">
        <f t="shared" si="30"/>
        <v>1.0178589559039035</v>
      </c>
      <c r="J38" s="44">
        <f t="shared" si="31"/>
        <v>0.1595553842020086</v>
      </c>
      <c r="K38">
        <f t="shared" si="32"/>
        <v>4.4461579799140449E-4</v>
      </c>
      <c r="L38">
        <f t="shared" si="33"/>
        <v>0.1595553842020086</v>
      </c>
      <c r="M38">
        <f t="shared" si="34"/>
        <v>1.0027865922558181</v>
      </c>
      <c r="N38" s="44">
        <f t="shared" si="35"/>
        <v>0.15997492554550885</v>
      </c>
      <c r="O38">
        <f t="shared" si="36"/>
        <v>2.5074454491152975E-5</v>
      </c>
    </row>
    <row r="39" spans="1:15" x14ac:dyDescent="0.25">
      <c r="A39" t="s">
        <v>6</v>
      </c>
      <c r="B39" t="s">
        <v>10</v>
      </c>
      <c r="C39">
        <f t="shared" si="25"/>
        <v>0.13200000000000001</v>
      </c>
      <c r="D39">
        <f>Constraints!$J$5</f>
        <v>0.15</v>
      </c>
      <c r="E39" s="44">
        <f t="shared" si="26"/>
        <v>1.1363636363636362</v>
      </c>
      <c r="F39" s="44">
        <f t="shared" si="27"/>
        <v>0.14717348845408076</v>
      </c>
      <c r="G39">
        <f t="shared" si="28"/>
        <v>2.8265115459192303E-3</v>
      </c>
      <c r="H39">
        <f t="shared" si="29"/>
        <v>0.14717348845408076</v>
      </c>
      <c r="I39">
        <f t="shared" si="30"/>
        <v>1.0192053037242581</v>
      </c>
      <c r="J39" s="44">
        <f t="shared" si="31"/>
        <v>0.14954875686105543</v>
      </c>
      <c r="K39">
        <f t="shared" si="32"/>
        <v>4.5124313894456813E-4</v>
      </c>
      <c r="L39">
        <f t="shared" si="33"/>
        <v>0.14954875686105543</v>
      </c>
      <c r="M39">
        <f t="shared" si="34"/>
        <v>1.0030173646937355</v>
      </c>
      <c r="N39" s="44">
        <f t="shared" si="35"/>
        <v>0.14997469641016914</v>
      </c>
      <c r="O39">
        <f t="shared" si="36"/>
        <v>2.5303589830855122E-5</v>
      </c>
    </row>
    <row r="40" spans="1:15" x14ac:dyDescent="0.25">
      <c r="A40" t="s">
        <v>6</v>
      </c>
      <c r="B40" t="s">
        <v>11</v>
      </c>
      <c r="C40">
        <f t="shared" si="25"/>
        <v>0.18479999999999999</v>
      </c>
      <c r="D40">
        <f>Constraints!$K$5</f>
        <v>0.17</v>
      </c>
      <c r="E40" s="44">
        <f t="shared" si="26"/>
        <v>0.91991341991342002</v>
      </c>
      <c r="F40" s="44">
        <f t="shared" si="27"/>
        <v>0.16996994285745531</v>
      </c>
      <c r="G40">
        <f t="shared" si="28"/>
        <v>3.0057142544698268E-5</v>
      </c>
      <c r="H40">
        <f t="shared" si="29"/>
        <v>0.16996994285745531</v>
      </c>
      <c r="I40">
        <f t="shared" si="30"/>
        <v>1.0001768379869957</v>
      </c>
      <c r="J40" s="44">
        <f t="shared" si="31"/>
        <v>0.1700131380396005</v>
      </c>
      <c r="K40">
        <f t="shared" si="32"/>
        <v>1.3138039600485429E-5</v>
      </c>
      <c r="L40">
        <f t="shared" si="33"/>
        <v>0.1700131380396005</v>
      </c>
      <c r="M40">
        <f t="shared" si="34"/>
        <v>0.99992272338625132</v>
      </c>
      <c r="N40" s="44">
        <f t="shared" si="35"/>
        <v>0.17000057042889752</v>
      </c>
      <c r="O40">
        <f t="shared" si="36"/>
        <v>5.7042889750613668E-7</v>
      </c>
    </row>
    <row r="41" spans="1:15" x14ac:dyDescent="0.25">
      <c r="A41" t="s">
        <v>6</v>
      </c>
      <c r="B41" t="s">
        <v>12</v>
      </c>
      <c r="C41">
        <f t="shared" si="25"/>
        <v>0.12320000000000003</v>
      </c>
      <c r="D41">
        <f>Constraints!$L$5</f>
        <v>0.12</v>
      </c>
      <c r="E41" s="44">
        <f t="shared" si="26"/>
        <v>0.97402597402597368</v>
      </c>
      <c r="F41" s="44">
        <f t="shared" si="27"/>
        <v>0.12280729754161968</v>
      </c>
      <c r="G41">
        <f t="shared" si="28"/>
        <v>2.8072975416196799E-3</v>
      </c>
      <c r="H41">
        <f t="shared" si="29"/>
        <v>0.12280729754161968</v>
      </c>
      <c r="I41">
        <f t="shared" si="30"/>
        <v>0.97714062928004519</v>
      </c>
      <c r="J41" s="44">
        <f t="shared" si="31"/>
        <v>0.1204446157979914</v>
      </c>
      <c r="K41">
        <f t="shared" si="32"/>
        <v>4.4461579799140449E-4</v>
      </c>
      <c r="L41">
        <f t="shared" si="33"/>
        <v>0.1204446157979914</v>
      </c>
      <c r="M41">
        <f t="shared" si="34"/>
        <v>0.99630854567432792</v>
      </c>
      <c r="N41" s="44">
        <f t="shared" si="35"/>
        <v>0.12002507445449113</v>
      </c>
      <c r="O41">
        <f t="shared" si="36"/>
        <v>2.5074454491139098E-5</v>
      </c>
    </row>
    <row r="42" spans="1:15" x14ac:dyDescent="0.25">
      <c r="F42" s="45" t="s">
        <v>42</v>
      </c>
      <c r="G42" s="46">
        <f>MAX(G36:G41)</f>
        <v>2.826511545919258E-3</v>
      </c>
      <c r="J42" s="45" t="s">
        <v>42</v>
      </c>
      <c r="K42" s="46">
        <f>MAX(K36:K41)</f>
        <v>4.5124313894459589E-4</v>
      </c>
      <c r="N42" s="45" t="s">
        <v>42</v>
      </c>
      <c r="O42" s="46">
        <f>MAX(O36:O41)</f>
        <v>2.5303589830882878E-5</v>
      </c>
    </row>
    <row r="43" spans="1:15" x14ac:dyDescent="0.25">
      <c r="A43" s="6" t="s">
        <v>22</v>
      </c>
    </row>
    <row r="44" spans="1:15" x14ac:dyDescent="0.25">
      <c r="A44" t="s">
        <v>18</v>
      </c>
      <c r="B44" t="s">
        <v>21</v>
      </c>
      <c r="C44" t="s">
        <v>36</v>
      </c>
      <c r="D44" t="s">
        <v>37</v>
      </c>
      <c r="E44" t="s">
        <v>38</v>
      </c>
      <c r="F44" t="s">
        <v>43</v>
      </c>
      <c r="G44" t="s">
        <v>44</v>
      </c>
      <c r="H44" t="s">
        <v>36</v>
      </c>
      <c r="I44" t="s">
        <v>38</v>
      </c>
      <c r="J44" t="s">
        <v>46</v>
      </c>
      <c r="K44" t="s">
        <v>44</v>
      </c>
      <c r="L44" t="s">
        <v>36</v>
      </c>
      <c r="M44" t="s">
        <v>38</v>
      </c>
      <c r="N44" t="s">
        <v>47</v>
      </c>
      <c r="O44" t="s">
        <v>44</v>
      </c>
    </row>
    <row r="45" spans="1:15" x14ac:dyDescent="0.25">
      <c r="A45" t="s">
        <v>5</v>
      </c>
      <c r="B45" t="s">
        <v>14</v>
      </c>
      <c r="C45">
        <f>SUMIFS($H$15:$H$32,$A$15:$A$32,$A45,$C$15:$C$32,$B45)</f>
        <v>0.27999999999999997</v>
      </c>
      <c r="D45">
        <f>Constraints!$J$11</f>
        <v>0.3</v>
      </c>
      <c r="E45" s="44">
        <f>D45/C45</f>
        <v>1.0714285714285714</v>
      </c>
      <c r="F45">
        <f>SUMIFS($J$15:$J$32,$A$15:$A$32,$A45,$C$15:$C$32,$B45)</f>
        <v>0.29776606617580142</v>
      </c>
      <c r="G45">
        <f>ABS($D45-F45)</f>
        <v>2.233933824198564E-3</v>
      </c>
      <c r="H45">
        <f>SUMIFS($K$15:$K$32,$A$15:$A$32,$A45,$C$15:$C$32,$B45)</f>
        <v>0.29714959724568463</v>
      </c>
      <c r="I45">
        <f>$D45/H45</f>
        <v>1.0095924839903405</v>
      </c>
      <c r="J45">
        <f>SUMIFS($M$15:$M$32,$A$15:$A$32,$A45,$C$15:$C$32,$B45)</f>
        <v>0.29995454025580282</v>
      </c>
      <c r="K45">
        <f>ABS($D45-J45)</f>
        <v>4.5459744197173801E-5</v>
      </c>
      <c r="L45">
        <f>SUMIFS($N$15:$N$32,$A$15:$A$32,$A45,$C$15:$C$32,$B45)</f>
        <v>0.29986340042099047</v>
      </c>
      <c r="M45">
        <f>$D45/L45</f>
        <v>1.0004555393516439</v>
      </c>
      <c r="N45">
        <f>SUMIFS($P$15:$P$32,$A$15:$A$32,$A45,$C$15:$C$32,$B45)</f>
        <v>0.29999501178964877</v>
      </c>
      <c r="O45">
        <f>ABS($D45-N45)</f>
        <v>4.9882103512199905E-6</v>
      </c>
    </row>
    <row r="46" spans="1:15" x14ac:dyDescent="0.25">
      <c r="A46" t="s">
        <v>5</v>
      </c>
      <c r="B46" t="s">
        <v>15</v>
      </c>
      <c r="C46">
        <f t="shared" ref="C46:C50" si="37">SUMIFS($H$15:$H$32,$A$15:$A$32,$A46,$C$15:$C$32,$B46)</f>
        <v>0.16799999999999998</v>
      </c>
      <c r="D46">
        <f>Constraints!$K$11</f>
        <v>0.16</v>
      </c>
      <c r="E46" s="44">
        <f t="shared" ref="E46:E50" si="38">D46/C46</f>
        <v>0.95238095238095255</v>
      </c>
      <c r="F46">
        <f t="shared" ref="F46:F50" si="39">SUMIFS($J$15:$J$32,$A$15:$A$32,$A46,$C$15:$C$32,$B46)</f>
        <v>0.16086798215949205</v>
      </c>
      <c r="G46">
        <f t="shared" ref="G46:G50" si="40">ABS($D46-F46)</f>
        <v>8.6798215949204782E-4</v>
      </c>
      <c r="H46">
        <f t="shared" ref="H46:H50" si="41">SUMIFS($K$15:$K$32,$A$15:$A$32,$A46,$C$15:$C$32,$B46)</f>
        <v>0.16103487440290537</v>
      </c>
      <c r="I46">
        <f t="shared" ref="I46:I50" si="42">$D46/H46</f>
        <v>0.9935736007076571</v>
      </c>
      <c r="J46">
        <f t="shared" ref="J46:J50" si="43">SUMIFS($M$15:$M$32,$A$15:$A$32,$A46,$C$15:$C$32,$B46)</f>
        <v>0.16001706917804392</v>
      </c>
      <c r="K46">
        <f t="shared" ref="K46:K50" si="44">ABS($D46-J46)</f>
        <v>1.7069178043921385E-5</v>
      </c>
      <c r="L46">
        <f t="shared" ref="L46:L50" si="45">SUMIFS($N$15:$N$32,$A$15:$A$32,$A46,$C$15:$C$32,$B46)</f>
        <v>0.1600488228166364</v>
      </c>
      <c r="M46">
        <f t="shared" ref="M46:M50" si="46">$D46/L46</f>
        <v>0.99969495047962753</v>
      </c>
      <c r="N46">
        <f t="shared" ref="N46:N50" si="47">SUMIFS($P$15:$P$32,$A$15:$A$32,$A46,$C$15:$C$32,$B46)</f>
        <v>0.16000206677792614</v>
      </c>
      <c r="O46">
        <f t="shared" ref="O46:O50" si="48">ABS($D46-N46)</f>
        <v>2.0667779261351882E-6</v>
      </c>
    </row>
    <row r="47" spans="1:15" x14ac:dyDescent="0.25">
      <c r="A47" t="s">
        <v>5</v>
      </c>
      <c r="B47" t="s">
        <v>16</v>
      </c>
      <c r="C47">
        <f t="shared" si="37"/>
        <v>0.112</v>
      </c>
      <c r="D47">
        <f>Constraints!$L$11</f>
        <v>0.1</v>
      </c>
      <c r="E47" s="44">
        <f t="shared" si="38"/>
        <v>0.8928571428571429</v>
      </c>
      <c r="F47">
        <f t="shared" si="39"/>
        <v>0.10141522281155085</v>
      </c>
      <c r="G47">
        <f t="shared" si="40"/>
        <v>1.4152228115508481E-3</v>
      </c>
      <c r="H47">
        <f t="shared" si="41"/>
        <v>0.10181552835140997</v>
      </c>
      <c r="I47">
        <f t="shared" si="42"/>
        <v>0.98216845327223778</v>
      </c>
      <c r="J47">
        <f t="shared" si="43"/>
        <v>0.10002187986750602</v>
      </c>
      <c r="K47">
        <f t="shared" si="44"/>
        <v>2.1879867506013895E-5</v>
      </c>
      <c r="L47">
        <f t="shared" si="45"/>
        <v>0.10008777676237321</v>
      </c>
      <c r="M47">
        <f t="shared" si="46"/>
        <v>0.99912300217656347</v>
      </c>
      <c r="N47">
        <f t="shared" si="47"/>
        <v>0.10000258013886729</v>
      </c>
      <c r="O47">
        <f t="shared" si="48"/>
        <v>2.5801388672808123E-6</v>
      </c>
    </row>
    <row r="48" spans="1:15" x14ac:dyDescent="0.25">
      <c r="A48" t="s">
        <v>6</v>
      </c>
      <c r="B48" t="s">
        <v>14</v>
      </c>
      <c r="C48">
        <f t="shared" si="37"/>
        <v>0.22</v>
      </c>
      <c r="D48">
        <f>Constraints!$J$12</f>
        <v>0.2</v>
      </c>
      <c r="E48" s="44">
        <f t="shared" si="38"/>
        <v>0.90909090909090917</v>
      </c>
      <c r="F48">
        <f t="shared" si="39"/>
        <v>0.2022339338241986</v>
      </c>
      <c r="G48">
        <f t="shared" si="40"/>
        <v>2.2339338241985918E-3</v>
      </c>
      <c r="H48">
        <f t="shared" si="41"/>
        <v>0.2028564466378335</v>
      </c>
      <c r="I48">
        <f t="shared" si="42"/>
        <v>0.98591887669740563</v>
      </c>
      <c r="J48">
        <f t="shared" si="43"/>
        <v>0.20004545974419724</v>
      </c>
      <c r="K48">
        <f t="shared" si="44"/>
        <v>4.5459744197229313E-5</v>
      </c>
      <c r="L48">
        <f t="shared" si="45"/>
        <v>0.20013906899293707</v>
      </c>
      <c r="M48">
        <f t="shared" si="46"/>
        <v>0.99930513820396571</v>
      </c>
      <c r="N48">
        <f t="shared" si="47"/>
        <v>0.2000049882103512</v>
      </c>
      <c r="O48">
        <f t="shared" si="48"/>
        <v>4.9882103511922349E-6</v>
      </c>
    </row>
    <row r="49" spans="1:15" x14ac:dyDescent="0.25">
      <c r="A49" t="s">
        <v>6</v>
      </c>
      <c r="B49" t="s">
        <v>15</v>
      </c>
      <c r="C49">
        <f t="shared" si="37"/>
        <v>0.13200000000000001</v>
      </c>
      <c r="D49">
        <f>Constraints!$K$12</f>
        <v>0.14000000000000001</v>
      </c>
      <c r="E49" s="44">
        <f t="shared" si="38"/>
        <v>1.0606060606060606</v>
      </c>
      <c r="F49">
        <f t="shared" si="39"/>
        <v>0.13913201784050794</v>
      </c>
      <c r="G49">
        <f t="shared" si="40"/>
        <v>8.6798215949207558E-4</v>
      </c>
      <c r="H49">
        <f t="shared" si="41"/>
        <v>0.13901512432457888</v>
      </c>
      <c r="I49">
        <f t="shared" si="42"/>
        <v>1.0070846656448804</v>
      </c>
      <c r="J49">
        <f t="shared" si="43"/>
        <v>0.13998293082195606</v>
      </c>
      <c r="K49">
        <f t="shared" si="44"/>
        <v>1.706917804394914E-5</v>
      </c>
      <c r="L49">
        <f t="shared" si="45"/>
        <v>0.13995987381976932</v>
      </c>
      <c r="M49">
        <f t="shared" si="46"/>
        <v>1.0002866977451148</v>
      </c>
      <c r="N49">
        <f t="shared" si="47"/>
        <v>0.13999793322207388</v>
      </c>
      <c r="O49">
        <f t="shared" si="48"/>
        <v>2.0667779261351882E-6</v>
      </c>
    </row>
    <row r="50" spans="1:15" x14ac:dyDescent="0.25">
      <c r="A50" t="s">
        <v>6</v>
      </c>
      <c r="B50" t="s">
        <v>16</v>
      </c>
      <c r="C50">
        <f t="shared" si="37"/>
        <v>8.7999999999999995E-2</v>
      </c>
      <c r="D50">
        <f>Constraints!$L$12</f>
        <v>0.1</v>
      </c>
      <c r="E50" s="44">
        <f t="shared" si="38"/>
        <v>1.1363636363636365</v>
      </c>
      <c r="F50">
        <f t="shared" si="39"/>
        <v>9.8584777188449157E-2</v>
      </c>
      <c r="G50">
        <f t="shared" si="40"/>
        <v>1.4152228115508481E-3</v>
      </c>
      <c r="H50">
        <f t="shared" si="41"/>
        <v>9.8128429037587547E-2</v>
      </c>
      <c r="I50">
        <f t="shared" si="42"/>
        <v>1.0190726681428433</v>
      </c>
      <c r="J50">
        <f t="shared" si="43"/>
        <v>9.9978120132493992E-2</v>
      </c>
      <c r="K50">
        <f t="shared" si="44"/>
        <v>2.1879867506013895E-5</v>
      </c>
      <c r="L50">
        <f t="shared" si="45"/>
        <v>9.9901057187293613E-2</v>
      </c>
      <c r="M50">
        <f t="shared" si="46"/>
        <v>1.0009904080646603</v>
      </c>
      <c r="N50">
        <f t="shared" si="47"/>
        <v>9.9997419861132711E-2</v>
      </c>
      <c r="O50">
        <f t="shared" si="48"/>
        <v>2.5801388672946901E-6</v>
      </c>
    </row>
    <row r="51" spans="1:15" x14ac:dyDescent="0.25">
      <c r="F51" s="45" t="s">
        <v>42</v>
      </c>
      <c r="G51" s="46">
        <f>MAX(G45:G50)</f>
        <v>2.2339338241985918E-3</v>
      </c>
      <c r="J51" s="45" t="s">
        <v>42</v>
      </c>
      <c r="K51" s="46">
        <f>MAX(K45:K50)</f>
        <v>4.5459744197229313E-5</v>
      </c>
      <c r="N51" s="45" t="s">
        <v>42</v>
      </c>
      <c r="O51" s="46">
        <f>MAX(O45:O50)</f>
        <v>4.9882103512199905E-6</v>
      </c>
    </row>
    <row r="52" spans="1:15" x14ac:dyDescent="0.25">
      <c r="A52" s="6" t="s">
        <v>23</v>
      </c>
    </row>
    <row r="53" spans="1:15" x14ac:dyDescent="0.25">
      <c r="A53" t="s">
        <v>19</v>
      </c>
      <c r="B53" t="s">
        <v>21</v>
      </c>
      <c r="C53" t="s">
        <v>36</v>
      </c>
      <c r="D53" t="s">
        <v>37</v>
      </c>
      <c r="E53" t="s">
        <v>38</v>
      </c>
      <c r="F53" t="s">
        <v>43</v>
      </c>
      <c r="G53" t="s">
        <v>44</v>
      </c>
      <c r="H53" t="s">
        <v>36</v>
      </c>
      <c r="I53" t="s">
        <v>38</v>
      </c>
      <c r="J53" t="s">
        <v>46</v>
      </c>
      <c r="K53" t="s">
        <v>44</v>
      </c>
      <c r="L53" t="s">
        <v>36</v>
      </c>
      <c r="M53" t="s">
        <v>38</v>
      </c>
      <c r="N53" t="s">
        <v>47</v>
      </c>
      <c r="O53" t="s">
        <v>44</v>
      </c>
    </row>
    <row r="54" spans="1:15" x14ac:dyDescent="0.25">
      <c r="A54" t="s">
        <v>10</v>
      </c>
      <c r="B54" t="s">
        <v>14</v>
      </c>
      <c r="C54">
        <f>SUMIFS($I$15:$I$32,$B$15:$B$32,$A54,$C$15:$C$32,$B54)</f>
        <v>0.14853896103896103</v>
      </c>
      <c r="D54">
        <f>Constraints!$J$18</f>
        <v>0.18</v>
      </c>
      <c r="E54" s="44">
        <f>D54/C54</f>
        <v>1.2118032786885247</v>
      </c>
      <c r="F54">
        <f>SUMIFS($J$15:$J$32,$B$15:$B$32,$A54,$C$15:$C$32,$B54)</f>
        <v>0.18</v>
      </c>
      <c r="G54">
        <f>ABS($D54-F54)</f>
        <v>0</v>
      </c>
      <c r="H54">
        <f>SUMIFS($L$15:$L$32,$B$15:$B$32,$A54,$C$15:$C$32,$B54)</f>
        <v>0.17951686381466492</v>
      </c>
      <c r="I54">
        <f>$D54/H54</f>
        <v>1.002691313646354</v>
      </c>
      <c r="J54">
        <f>SUMIFS($M$15:$M$32,$B$15:$B$32,$A54,$C$15:$C$32,$B54)</f>
        <v>0.18</v>
      </c>
      <c r="K54">
        <f>ABS($D54-J54)</f>
        <v>0</v>
      </c>
      <c r="L54">
        <f>SUMIFS($O$15:$O$32,$B$15:$B$32,$A54,$C$15:$C$32,$B54)</f>
        <v>0.17994692365453285</v>
      </c>
      <c r="M54">
        <f>$D54/L54</f>
        <v>1.0002949555590572</v>
      </c>
      <c r="N54">
        <f>SUMIFS($P$15:$P$32,$B$15:$B$32,$A54,$C$15:$C$32,$B54)</f>
        <v>0.18</v>
      </c>
      <c r="O54">
        <f>ABS($D54-N54)</f>
        <v>0</v>
      </c>
    </row>
    <row r="55" spans="1:15" x14ac:dyDescent="0.25">
      <c r="A55" t="s">
        <v>10</v>
      </c>
      <c r="B55" t="s">
        <v>15</v>
      </c>
      <c r="C55">
        <f t="shared" ref="C55:C62" si="49">SUMIFS($I$15:$I$32,$B$15:$B$32,$A55,$C$15:$C$32,$B55)</f>
        <v>9.0584415584415587E-2</v>
      </c>
      <c r="D55">
        <f>Constraints!$K$18</f>
        <v>0.08</v>
      </c>
      <c r="E55" s="44">
        <f t="shared" ref="E55:E62" si="50">D55/C55</f>
        <v>0.88315412186379927</v>
      </c>
      <c r="F55">
        <f t="shared" ref="F55:F62" si="51">SUMIFS($J$15:$J$32,$B$15:$B$32,$A55,$C$15:$C$32,$B55)</f>
        <v>0.08</v>
      </c>
      <c r="G55">
        <f t="shared" ref="G55:G62" si="52">ABS($D55-F55)</f>
        <v>0</v>
      </c>
      <c r="H55">
        <f t="shared" ref="H55:H62" si="53">SUMIFS($L$15:$L$32,$B$15:$B$32,$A55,$C$15:$C$32,$B55)</f>
        <v>8.0175112197386572E-2</v>
      </c>
      <c r="I55">
        <f t="shared" ref="I55:I62" si="54">$D55/H55</f>
        <v>0.99781587836191044</v>
      </c>
      <c r="J55">
        <f t="shared" ref="J55:J62" si="55">SUMIFS($M$15:$M$32,$B$15:$B$32,$A55,$C$15:$C$32,$B55)</f>
        <v>0.08</v>
      </c>
      <c r="K55">
        <f t="shared" ref="K55:K62" si="56">ABS($D55-J55)</f>
        <v>0</v>
      </c>
      <c r="L55">
        <f t="shared" ref="L55:L62" si="57">SUMIFS($O$15:$O$32,$B$15:$B$32,$A55,$C$15:$C$32,$B55)</f>
        <v>8.0021008949862679E-2</v>
      </c>
      <c r="M55">
        <f t="shared" ref="M55:M62" si="58">$D55/L55</f>
        <v>0.99973745707360628</v>
      </c>
      <c r="N55">
        <f t="shared" ref="N55:N62" si="59">SUMIFS($P$15:$P$32,$B$15:$B$32,$A55,$C$15:$C$32,$B55)</f>
        <v>8.0000000000000016E-2</v>
      </c>
      <c r="O55">
        <f t="shared" ref="O55:O62" si="60">ABS($D55-N55)</f>
        <v>1.3877787807814457E-17</v>
      </c>
    </row>
    <row r="56" spans="1:15" x14ac:dyDescent="0.25">
      <c r="A56" t="s">
        <v>10</v>
      </c>
      <c r="B56" t="s">
        <v>16</v>
      </c>
      <c r="C56">
        <f t="shared" si="49"/>
        <v>6.0876623376623376E-2</v>
      </c>
      <c r="D56">
        <f>Constraints!$L$18</f>
        <v>0.04</v>
      </c>
      <c r="E56" s="44">
        <f t="shared" si="50"/>
        <v>0.65706666666666669</v>
      </c>
      <c r="F56">
        <f t="shared" si="51"/>
        <v>4.0000000000000008E-2</v>
      </c>
      <c r="G56">
        <f t="shared" si="52"/>
        <v>6.9388939039072284E-18</v>
      </c>
      <c r="H56">
        <f t="shared" si="53"/>
        <v>4.0232090441207201E-2</v>
      </c>
      <c r="I56">
        <f t="shared" si="54"/>
        <v>0.99423121098948708</v>
      </c>
      <c r="J56">
        <f t="shared" si="55"/>
        <v>4.0000000000000008E-2</v>
      </c>
      <c r="K56">
        <f t="shared" si="56"/>
        <v>6.9388939039072284E-18</v>
      </c>
      <c r="L56">
        <f t="shared" si="57"/>
        <v>4.0027431900137682E-2</v>
      </c>
      <c r="M56">
        <f t="shared" si="58"/>
        <v>0.99931467249245165</v>
      </c>
      <c r="N56">
        <f t="shared" si="59"/>
        <v>3.9999999999999994E-2</v>
      </c>
      <c r="O56">
        <f t="shared" si="60"/>
        <v>6.9388939039072284E-18</v>
      </c>
    </row>
    <row r="57" spans="1:15" x14ac:dyDescent="0.25">
      <c r="A57" t="s">
        <v>11</v>
      </c>
      <c r="B57" t="s">
        <v>14</v>
      </c>
      <c r="C57">
        <f t="shared" si="49"/>
        <v>0.21120129870129872</v>
      </c>
      <c r="D57">
        <f>Constraints!$J$19</f>
        <v>0.21</v>
      </c>
      <c r="E57" s="44">
        <f t="shared" si="50"/>
        <v>0.99431206764027658</v>
      </c>
      <c r="F57">
        <f t="shared" si="51"/>
        <v>0.21</v>
      </c>
      <c r="G57">
        <f t="shared" si="52"/>
        <v>0</v>
      </c>
      <c r="H57">
        <f t="shared" si="53"/>
        <v>0.21019273612888403</v>
      </c>
      <c r="I57">
        <f t="shared" si="54"/>
        <v>0.99908305047817703</v>
      </c>
      <c r="J57">
        <f t="shared" si="55"/>
        <v>0.21</v>
      </c>
      <c r="K57">
        <f t="shared" si="56"/>
        <v>0</v>
      </c>
      <c r="L57">
        <f t="shared" si="57"/>
        <v>0.21000979956886628</v>
      </c>
      <c r="M57">
        <f t="shared" si="58"/>
        <v>0.99995333756383553</v>
      </c>
      <c r="N57">
        <f t="shared" si="59"/>
        <v>0.20999999999999996</v>
      </c>
      <c r="O57">
        <f t="shared" si="60"/>
        <v>2.7755575615628914E-17</v>
      </c>
    </row>
    <row r="58" spans="1:15" x14ac:dyDescent="0.25">
      <c r="A58" t="s">
        <v>11</v>
      </c>
      <c r="B58" t="s">
        <v>15</v>
      </c>
      <c r="C58">
        <f t="shared" si="49"/>
        <v>0.12551948051948056</v>
      </c>
      <c r="D58">
        <f>Constraints!$K$19</f>
        <v>0.13</v>
      </c>
      <c r="E58" s="44">
        <f t="shared" si="50"/>
        <v>1.0356958096223483</v>
      </c>
      <c r="F58">
        <f t="shared" si="51"/>
        <v>0.13</v>
      </c>
      <c r="G58">
        <f t="shared" si="52"/>
        <v>0</v>
      </c>
      <c r="H58">
        <f t="shared" si="53"/>
        <v>0.12992262216987432</v>
      </c>
      <c r="I58">
        <f t="shared" si="54"/>
        <v>1.0005955685686863</v>
      </c>
      <c r="J58">
        <f t="shared" si="55"/>
        <v>0.13</v>
      </c>
      <c r="K58">
        <f t="shared" si="56"/>
        <v>0</v>
      </c>
      <c r="L58">
        <f t="shared" si="57"/>
        <v>0.12999325405383474</v>
      </c>
      <c r="M58">
        <f t="shared" si="58"/>
        <v>1.0000518945864874</v>
      </c>
      <c r="N58">
        <f t="shared" si="59"/>
        <v>0.13</v>
      </c>
      <c r="O58">
        <f t="shared" si="60"/>
        <v>0</v>
      </c>
    </row>
    <row r="59" spans="1:15" x14ac:dyDescent="0.25">
      <c r="A59" t="s">
        <v>11</v>
      </c>
      <c r="B59" t="s">
        <v>16</v>
      </c>
      <c r="C59">
        <f t="shared" si="49"/>
        <v>8.3279220779220786E-2</v>
      </c>
      <c r="D59">
        <f>Constraints!$L$19</f>
        <v>0.08</v>
      </c>
      <c r="E59" s="44">
        <f t="shared" si="50"/>
        <v>0.96062378167641316</v>
      </c>
      <c r="F59">
        <f t="shared" si="51"/>
        <v>8.0000000000000016E-2</v>
      </c>
      <c r="G59">
        <f t="shared" si="52"/>
        <v>1.3877787807814457E-17</v>
      </c>
      <c r="H59">
        <f t="shared" si="53"/>
        <v>7.9944801627662501E-2</v>
      </c>
      <c r="I59">
        <f t="shared" si="54"/>
        <v>1.0006904560548486</v>
      </c>
      <c r="J59">
        <f t="shared" si="55"/>
        <v>7.9999999999999988E-2</v>
      </c>
      <c r="K59">
        <f t="shared" si="56"/>
        <v>1.3877787807814457E-17</v>
      </c>
      <c r="L59">
        <f t="shared" si="57"/>
        <v>7.9999816821811565E-2</v>
      </c>
      <c r="M59">
        <f t="shared" si="58"/>
        <v>1.0000022897325984</v>
      </c>
      <c r="N59">
        <f t="shared" si="59"/>
        <v>8.0000000000000016E-2</v>
      </c>
      <c r="O59">
        <f t="shared" si="60"/>
        <v>1.3877787807814457E-17</v>
      </c>
    </row>
    <row r="60" spans="1:15" x14ac:dyDescent="0.25">
      <c r="A60" t="s">
        <v>12</v>
      </c>
      <c r="B60" t="s">
        <v>14</v>
      </c>
      <c r="C60">
        <f t="shared" si="49"/>
        <v>0.14025974025974025</v>
      </c>
      <c r="D60">
        <f>Constraints!$J$20</f>
        <v>0.11</v>
      </c>
      <c r="E60" s="44">
        <f t="shared" si="50"/>
        <v>0.78425925925925932</v>
      </c>
      <c r="F60">
        <f t="shared" si="51"/>
        <v>0.11000000000000001</v>
      </c>
      <c r="G60">
        <f t="shared" si="52"/>
        <v>1.3877787807814457E-17</v>
      </c>
      <c r="H60">
        <f t="shared" si="53"/>
        <v>0.11029040005645108</v>
      </c>
      <c r="I60">
        <f t="shared" si="54"/>
        <v>0.9973669507382108</v>
      </c>
      <c r="J60">
        <f t="shared" si="55"/>
        <v>0.11000000000000001</v>
      </c>
      <c r="K60">
        <f t="shared" si="56"/>
        <v>1.3877787807814457E-17</v>
      </c>
      <c r="L60">
        <f t="shared" si="57"/>
        <v>0.11004327677660081</v>
      </c>
      <c r="M60">
        <f t="shared" si="58"/>
        <v>0.9996067294807236</v>
      </c>
      <c r="N60">
        <f t="shared" si="59"/>
        <v>0.11000000000000001</v>
      </c>
      <c r="O60">
        <f t="shared" si="60"/>
        <v>1.3877787807814457E-17</v>
      </c>
    </row>
    <row r="61" spans="1:15" x14ac:dyDescent="0.25">
      <c r="A61" t="s">
        <v>12</v>
      </c>
      <c r="B61" t="s">
        <v>15</v>
      </c>
      <c r="C61">
        <f t="shared" si="49"/>
        <v>8.3896103896103899E-2</v>
      </c>
      <c r="D61">
        <f>Constraints!$K$20</f>
        <v>0.09</v>
      </c>
      <c r="E61" s="44">
        <f t="shared" si="50"/>
        <v>1.0727554179566563</v>
      </c>
      <c r="F61">
        <f t="shared" si="51"/>
        <v>0.09</v>
      </c>
      <c r="G61">
        <f t="shared" si="52"/>
        <v>0</v>
      </c>
      <c r="H61">
        <f t="shared" si="53"/>
        <v>8.990226563273912E-2</v>
      </c>
      <c r="I61">
        <f t="shared" si="54"/>
        <v>1.0010871179560716</v>
      </c>
      <c r="J61">
        <f t="shared" si="55"/>
        <v>0.09</v>
      </c>
      <c r="K61">
        <f t="shared" si="56"/>
        <v>0</v>
      </c>
      <c r="L61">
        <f t="shared" si="57"/>
        <v>8.9985736996302593E-2</v>
      </c>
      <c r="M61">
        <f t="shared" si="58"/>
        <v>1.00015850293806</v>
      </c>
      <c r="N61">
        <f t="shared" si="59"/>
        <v>0.09</v>
      </c>
      <c r="O61">
        <f t="shared" si="60"/>
        <v>0</v>
      </c>
    </row>
    <row r="62" spans="1:15" x14ac:dyDescent="0.25">
      <c r="A62" t="s">
        <v>12</v>
      </c>
      <c r="B62" t="s">
        <v>16</v>
      </c>
      <c r="C62">
        <f t="shared" si="49"/>
        <v>5.5844155844155849E-2</v>
      </c>
      <c r="D62">
        <f>Constraints!$L$20</f>
        <v>0.08</v>
      </c>
      <c r="E62" s="44">
        <f t="shared" si="50"/>
        <v>1.4325581395348836</v>
      </c>
      <c r="F62">
        <f t="shared" si="51"/>
        <v>0.08</v>
      </c>
      <c r="G62">
        <f t="shared" si="52"/>
        <v>0</v>
      </c>
      <c r="H62">
        <f t="shared" si="53"/>
        <v>7.9823107931130316E-2</v>
      </c>
      <c r="I62">
        <f t="shared" si="54"/>
        <v>1.0022160508836904</v>
      </c>
      <c r="J62">
        <f t="shared" si="55"/>
        <v>0.08</v>
      </c>
      <c r="K62">
        <f t="shared" si="56"/>
        <v>0</v>
      </c>
      <c r="L62">
        <f t="shared" si="57"/>
        <v>7.9972751278050758E-2</v>
      </c>
      <c r="M62">
        <f t="shared" si="58"/>
        <v>1.000340725078402</v>
      </c>
      <c r="N62">
        <f t="shared" si="59"/>
        <v>7.9999999999999988E-2</v>
      </c>
      <c r="O62">
        <f t="shared" si="60"/>
        <v>1.3877787807814457E-17</v>
      </c>
    </row>
    <row r="63" spans="1:15" x14ac:dyDescent="0.25">
      <c r="F63" s="45" t="s">
        <v>42</v>
      </c>
      <c r="G63" s="46">
        <f>MAX(G54:G59)</f>
        <v>1.3877787807814457E-17</v>
      </c>
      <c r="J63" s="45" t="s">
        <v>42</v>
      </c>
      <c r="K63" s="46">
        <f>MAX(K54:K59)</f>
        <v>1.3877787807814457E-17</v>
      </c>
      <c r="N63" s="45" t="s">
        <v>42</v>
      </c>
      <c r="O63" s="46">
        <f>MAX(O54:O59)</f>
        <v>2.7755575615628914E-17</v>
      </c>
    </row>
    <row r="65" spans="1:15" x14ac:dyDescent="0.25">
      <c r="F65" s="47" t="s">
        <v>45</v>
      </c>
      <c r="G65" s="47">
        <f>MAX(G63,G51,G42)</f>
        <v>2.826511545919258E-3</v>
      </c>
      <c r="J65" s="47" t="s">
        <v>45</v>
      </c>
      <c r="K65" s="47">
        <f>MAX(K63,K51,K42)</f>
        <v>4.5124313894459589E-4</v>
      </c>
      <c r="N65" s="47" t="s">
        <v>45</v>
      </c>
      <c r="O65" s="47">
        <f>MAX(O63,O51,O42)</f>
        <v>2.5303589830882878E-5</v>
      </c>
    </row>
    <row r="68" spans="1:15" x14ac:dyDescent="0.25">
      <c r="A68" s="6"/>
    </row>
  </sheetData>
  <mergeCells count="3">
    <mergeCell ref="H13:J13"/>
    <mergeCell ref="K13:M13"/>
    <mergeCell ref="N13:P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3AF4-BF9B-45F0-9686-89417C964A7F}">
  <dimension ref="A1:R39"/>
  <sheetViews>
    <sheetView zoomScale="115" zoomScaleNormal="115" workbookViewId="0">
      <selection activeCell="A2" sqref="A2:C20"/>
    </sheetView>
  </sheetViews>
  <sheetFormatPr defaultRowHeight="15" x14ac:dyDescent="0.25"/>
  <cols>
    <col min="1" max="1" width="8.140625" bestFit="1" customWidth="1"/>
    <col min="2" max="2" width="8.28515625" style="51" bestFit="1" customWidth="1"/>
    <col min="3" max="3" width="14.140625" style="51" bestFit="1" customWidth="1"/>
    <col min="6" max="6" width="13.42578125" style="51" bestFit="1" customWidth="1"/>
    <col min="18" max="18" width="10.5703125" bestFit="1" customWidth="1"/>
  </cols>
  <sheetData>
    <row r="1" spans="1:16" x14ac:dyDescent="0.25">
      <c r="A1" s="6" t="s">
        <v>31</v>
      </c>
      <c r="B1"/>
      <c r="C1"/>
      <c r="E1" s="53" t="s">
        <v>43</v>
      </c>
      <c r="F1" s="54"/>
      <c r="G1" s="55"/>
      <c r="H1" s="53" t="s">
        <v>46</v>
      </c>
      <c r="I1" s="54"/>
      <c r="J1" s="55"/>
      <c r="K1" s="53" t="s">
        <v>47</v>
      </c>
      <c r="L1" s="54"/>
      <c r="M1" s="55"/>
      <c r="N1" s="53" t="s">
        <v>53</v>
      </c>
      <c r="O1" s="54"/>
      <c r="P1" s="55"/>
    </row>
    <row r="2" spans="1:16" ht="18" x14ac:dyDescent="0.35">
      <c r="A2" t="s">
        <v>18</v>
      </c>
      <c r="B2" t="s">
        <v>19</v>
      </c>
      <c r="C2" t="s">
        <v>21</v>
      </c>
      <c r="D2" t="s">
        <v>32</v>
      </c>
      <c r="E2" s="56" t="s">
        <v>49</v>
      </c>
      <c r="F2" s="62" t="s">
        <v>50</v>
      </c>
      <c r="G2" s="58" t="s">
        <v>51</v>
      </c>
      <c r="H2" s="56" t="s">
        <v>49</v>
      </c>
      <c r="I2" s="57" t="s">
        <v>50</v>
      </c>
      <c r="J2" s="58" t="s">
        <v>51</v>
      </c>
      <c r="K2" s="56" t="s">
        <v>49</v>
      </c>
      <c r="L2" s="57" t="s">
        <v>50</v>
      </c>
      <c r="M2" s="58" t="s">
        <v>51</v>
      </c>
      <c r="N2" s="56" t="s">
        <v>49</v>
      </c>
      <c r="O2" s="57" t="s">
        <v>50</v>
      </c>
      <c r="P2" s="58" t="s">
        <v>51</v>
      </c>
    </row>
    <row r="3" spans="1:16" x14ac:dyDescent="0.25">
      <c r="A3" t="s">
        <v>5</v>
      </c>
      <c r="B3" t="s">
        <v>10</v>
      </c>
      <c r="C3" t="s">
        <v>14</v>
      </c>
      <c r="D3" s="52">
        <f>'National Fitting'!P15</f>
        <v>9.6534795495907932E-2</v>
      </c>
      <c r="E3" s="56">
        <f>D3*$D$23</f>
        <v>9.8193228861221851E-2</v>
      </c>
      <c r="F3" s="62">
        <f>E3*$D$28</f>
        <v>8.2019564849846266E-2</v>
      </c>
      <c r="G3" s="58">
        <f>F3*$D$34</f>
        <v>3.4108159772765573E-2</v>
      </c>
      <c r="H3" s="56">
        <f>G3*$H$23</f>
        <v>3.5563652831655732E-2</v>
      </c>
      <c r="I3" s="57">
        <f>H3*$H$28</f>
        <v>4.2208740653625863E-2</v>
      </c>
      <c r="J3" s="58">
        <f>I3*$H$34</f>
        <v>4.0630793790726261E-2</v>
      </c>
      <c r="K3" s="56">
        <f>J3*$L$23</f>
        <v>4.0886507780164685E-2</v>
      </c>
      <c r="L3" s="57">
        <f>K3*$L$28</f>
        <v>4.1156034082433894E-2</v>
      </c>
      <c r="M3" s="58">
        <f>L3*$L$34</f>
        <v>4.1066150890861144E-2</v>
      </c>
      <c r="N3" s="56">
        <f>M3*$P$23</f>
        <v>4.1078064726290733E-2</v>
      </c>
      <c r="O3" s="57">
        <f>N3*$P$28</f>
        <v>4.1092550184157549E-2</v>
      </c>
      <c r="P3" s="58">
        <f>O3*$P$34</f>
        <v>4.1087998529227142E-2</v>
      </c>
    </row>
    <row r="4" spans="1:16" x14ac:dyDescent="0.25">
      <c r="A4" t="s">
        <v>5</v>
      </c>
      <c r="B4" t="s">
        <v>10</v>
      </c>
      <c r="C4" t="s">
        <v>15</v>
      </c>
      <c r="D4" s="52">
        <f>'National Fitting'!P16</f>
        <v>3.6698783595128757E-2</v>
      </c>
      <c r="E4" s="56">
        <f t="shared" ref="E4:E11" si="0">D4*$D$23</f>
        <v>3.7329255611648196E-2</v>
      </c>
      <c r="F4" s="62">
        <f>E4*$D$28</f>
        <v>3.118065610983483E-2</v>
      </c>
      <c r="G4" s="58">
        <f>F4*$D$35</f>
        <v>3.9104798434914843E-2</v>
      </c>
      <c r="H4" s="56">
        <f t="shared" ref="H4:H12" si="1">G4*$H$23</f>
        <v>4.0773512404548691E-2</v>
      </c>
      <c r="I4" s="57">
        <f t="shared" ref="I4:I6" si="2">H4*$H$28</f>
        <v>4.839206531363692E-2</v>
      </c>
      <c r="J4" s="58">
        <f>I4*$H$35</f>
        <v>4.8152137755431063E-2</v>
      </c>
      <c r="K4" s="56">
        <f t="shared" ref="K4:K12" si="3">J4*$L$23</f>
        <v>4.8455188079991551E-2</v>
      </c>
      <c r="L4" s="57">
        <f t="shared" ref="L4:L6" si="4">K4*$L$28</f>
        <v>4.8774607575028377E-2</v>
      </c>
      <c r="M4" s="58">
        <f>L4*$L$35</f>
        <v>4.8764826066201875E-2</v>
      </c>
      <c r="N4" s="56">
        <f t="shared" ref="N4:N12" si="5">M4*$P$23</f>
        <v>4.8778973389481554E-2</v>
      </c>
      <c r="O4" s="57">
        <f t="shared" ref="O4:O6" si="6">N4*$P$28</f>
        <v>4.8796174437498979E-2</v>
      </c>
      <c r="P4" s="58">
        <f>O4*$P$35</f>
        <v>4.8795644486770033E-2</v>
      </c>
    </row>
    <row r="5" spans="1:16" x14ac:dyDescent="0.25">
      <c r="A5" t="s">
        <v>5</v>
      </c>
      <c r="B5" t="s">
        <v>10</v>
      </c>
      <c r="C5" t="s">
        <v>16</v>
      </c>
      <c r="D5" s="52">
        <f>'National Fitting'!P17</f>
        <v>1.6791724498794187E-2</v>
      </c>
      <c r="E5" s="56">
        <f t="shared" si="0"/>
        <v>1.7080200338276751E-2</v>
      </c>
      <c r="F5" s="62">
        <f>E5*$D$28</f>
        <v>1.4266875787062535E-2</v>
      </c>
      <c r="G5" s="58">
        <f>F5*$D$36</f>
        <v>2.8354837834059326E-2</v>
      </c>
      <c r="H5" s="56">
        <f t="shared" si="1"/>
        <v>2.956482013531448E-2</v>
      </c>
      <c r="I5" s="57">
        <f t="shared" si="2"/>
        <v>3.508902281409676E-2</v>
      </c>
      <c r="J5" s="58">
        <f>I5*$H$36</f>
        <v>3.5928286489597915E-2</v>
      </c>
      <c r="K5" s="56">
        <f t="shared" si="3"/>
        <v>3.6154404776118781E-2</v>
      </c>
      <c r="L5" s="57">
        <f t="shared" si="4"/>
        <v>3.6392736772640606E-2</v>
      </c>
      <c r="M5" s="58">
        <f>L5*$L$36</f>
        <v>3.6438049612974803E-2</v>
      </c>
      <c r="N5" s="56">
        <f t="shared" si="5"/>
        <v>3.6448620774796561E-2</v>
      </c>
      <c r="O5" s="57">
        <f t="shared" si="6"/>
        <v>3.6461473740583894E-2</v>
      </c>
      <c r="P5" s="58">
        <f>O5*$P$36</f>
        <v>3.646379225194487E-2</v>
      </c>
    </row>
    <row r="6" spans="1:16" x14ac:dyDescent="0.25">
      <c r="A6" t="s">
        <v>5</v>
      </c>
      <c r="B6" t="s">
        <v>11</v>
      </c>
      <c r="C6" t="s">
        <v>14</v>
      </c>
      <c r="D6" s="52">
        <f>'National Fitting'!P18</f>
        <v>0.13436674183659997</v>
      </c>
      <c r="E6" s="56">
        <f t="shared" si="0"/>
        <v>0.1366751145503515</v>
      </c>
      <c r="F6" s="62">
        <f>E6*$D$29</f>
        <v>0.12592581300449063</v>
      </c>
      <c r="G6" s="58">
        <f t="shared" ref="G6" si="7">F6*$D$34</f>
        <v>5.2366746365158486E-2</v>
      </c>
      <c r="H6" s="56">
        <f t="shared" si="1"/>
        <v>5.4601385711254447E-2</v>
      </c>
      <c r="I6" s="57">
        <f>H6*$H$29</f>
        <v>5.5928570447582281E-2</v>
      </c>
      <c r="J6" s="58">
        <f t="shared" ref="J6" si="8">I6*$H$34</f>
        <v>5.3837716493695349E-2</v>
      </c>
      <c r="K6" s="56">
        <f t="shared" si="3"/>
        <v>5.4176549580190449E-2</v>
      </c>
      <c r="L6" s="57">
        <f>K6*$L$29</f>
        <v>5.4194284882365357E-2</v>
      </c>
      <c r="M6" s="58">
        <f t="shared" ref="M6" si="9">L6*$L$34</f>
        <v>5.4075926653764587E-2</v>
      </c>
      <c r="N6" s="56">
        <f t="shared" si="5"/>
        <v>5.4091614797817038E-2</v>
      </c>
      <c r="O6" s="57">
        <f>N6*$P$29</f>
        <v>5.4092651726387393E-2</v>
      </c>
      <c r="P6" s="58">
        <f t="shared" ref="P6" si="10">O6*$P$34</f>
        <v>5.4086660102995184E-2</v>
      </c>
    </row>
    <row r="7" spans="1:16" x14ac:dyDescent="0.25">
      <c r="A7" t="s">
        <v>5</v>
      </c>
      <c r="B7" t="s">
        <v>11</v>
      </c>
      <c r="C7" t="s">
        <v>15</v>
      </c>
      <c r="D7" s="52">
        <f>'National Fitting'!P19</f>
        <v>7.3523039023844466E-2</v>
      </c>
      <c r="E7" s="56">
        <f t="shared" si="0"/>
        <v>7.4786138618245013E-2</v>
      </c>
      <c r="F7" s="62">
        <f>E7*$D$29</f>
        <v>6.8904316180394345E-2</v>
      </c>
      <c r="G7" s="58">
        <f t="shared" ref="G7" si="11">F7*$D$35</f>
        <v>8.6415416854556865E-2</v>
      </c>
      <c r="H7" s="56">
        <f t="shared" si="1"/>
        <v>9.0103010681103213E-2</v>
      </c>
      <c r="I7" s="57">
        <f t="shared" ref="I7:I9" si="12">H7*$H$29</f>
        <v>9.2293126168382797E-2</v>
      </c>
      <c r="J7" s="58">
        <f t="shared" ref="J7" si="13">I7*$H$35</f>
        <v>9.1835537424086622E-2</v>
      </c>
      <c r="K7" s="56">
        <f t="shared" si="3"/>
        <v>9.2413513620364984E-2</v>
      </c>
      <c r="L7" s="57">
        <f t="shared" ref="L7:M9" si="14">K7*$L$29</f>
        <v>9.2443766222308127E-2</v>
      </c>
      <c r="M7" s="58">
        <f t="shared" ref="M7" si="15">L7*$L$35</f>
        <v>9.2425227077449448E-2</v>
      </c>
      <c r="N7" s="56">
        <f t="shared" si="5"/>
        <v>9.2452040862551182E-2</v>
      </c>
      <c r="O7" s="57">
        <f t="shared" ref="O7:O9" si="16">N7*$P$29</f>
        <v>9.2453813155038964E-2</v>
      </c>
      <c r="P7" s="58">
        <f t="shared" ref="P7" si="17">O7*$P$35</f>
        <v>9.2452809060635244E-2</v>
      </c>
    </row>
    <row r="8" spans="1:16" x14ac:dyDescent="0.25">
      <c r="A8" t="s">
        <v>5</v>
      </c>
      <c r="B8" t="s">
        <v>11</v>
      </c>
      <c r="C8" t="s">
        <v>16</v>
      </c>
      <c r="D8" s="52">
        <f>'National Fitting'!P20</f>
        <v>4.2109648710658025E-2</v>
      </c>
      <c r="E8" s="56">
        <f t="shared" si="0"/>
        <v>4.2833077460516039E-2</v>
      </c>
      <c r="F8" s="62">
        <f>E8*$D$29</f>
        <v>3.9464317410267957E-2</v>
      </c>
      <c r="G8" s="58">
        <f t="shared" ref="G8" si="18">F8*$D$36</f>
        <v>7.8433732591596944E-2</v>
      </c>
      <c r="H8" s="56">
        <f t="shared" si="1"/>
        <v>8.1780725045322619E-2</v>
      </c>
      <c r="I8" s="57">
        <f t="shared" si="12"/>
        <v>8.3768552434538568E-2</v>
      </c>
      <c r="J8" s="58">
        <f t="shared" ref="J8" si="19">I8*$H$36</f>
        <v>8.5772139242301648E-2</v>
      </c>
      <c r="K8" s="56">
        <f t="shared" si="3"/>
        <v>8.6311954831957263E-2</v>
      </c>
      <c r="L8" s="57">
        <f t="shared" si="14"/>
        <v>8.6340210020080424E-2</v>
      </c>
      <c r="M8" s="58">
        <f t="shared" ref="M8" si="20">L8*$L$36</f>
        <v>8.6447712793930667E-2</v>
      </c>
      <c r="N8" s="56">
        <f t="shared" si="5"/>
        <v>8.647279242280137E-2</v>
      </c>
      <c r="O8" s="57">
        <f t="shared" si="16"/>
        <v>8.6474450093946095E-2</v>
      </c>
      <c r="P8" s="58">
        <f t="shared" ref="P8" si="21">O8*$P$36</f>
        <v>8.6479948829307235E-2</v>
      </c>
    </row>
    <row r="9" spans="1:16" x14ac:dyDescent="0.25">
      <c r="A9" t="s">
        <v>5</v>
      </c>
      <c r="B9" t="s">
        <v>12</v>
      </c>
      <c r="C9" t="s">
        <v>14</v>
      </c>
      <c r="D9" s="52">
        <f>'National Fitting'!P21</f>
        <v>6.9093474457140869E-2</v>
      </c>
      <c r="E9" s="56">
        <f t="shared" si="0"/>
        <v>7.0280475711730406E-2</v>
      </c>
      <c r="F9" s="62">
        <f>E9*$D$30</f>
        <v>9.0947849537151154E-2</v>
      </c>
      <c r="G9" s="58">
        <f t="shared" ref="G9" si="22">F9*$D$34</f>
        <v>3.782102219978322E-2</v>
      </c>
      <c r="H9" s="56">
        <f t="shared" si="1"/>
        <v>3.943495375336617E-2</v>
      </c>
      <c r="I9" s="57">
        <f>H9*$H$30</f>
        <v>3.4776880336196477E-2</v>
      </c>
      <c r="J9" s="58">
        <f t="shared" ref="J9" si="23">I9*$H$34</f>
        <v>3.3476768833741073E-2</v>
      </c>
      <c r="K9" s="56">
        <f t="shared" si="3"/>
        <v>3.3687458247196184E-2</v>
      </c>
      <c r="L9" s="57">
        <f>K9*$L$30</f>
        <v>3.3524318901651681E-2</v>
      </c>
      <c r="M9" s="58">
        <f t="shared" ref="M9" si="24">L9*$L$34</f>
        <v>3.3451103081775853E-2</v>
      </c>
      <c r="N9" s="56">
        <f t="shared" si="5"/>
        <v>3.3460807690764253E-2</v>
      </c>
      <c r="O9" s="57">
        <f>N9*$P$30</f>
        <v>3.3451989726976113E-2</v>
      </c>
      <c r="P9" s="58">
        <f t="shared" ref="P9" si="25">O9*$P$34</f>
        <v>3.3448284385903575E-2</v>
      </c>
    </row>
    <row r="10" spans="1:16" x14ac:dyDescent="0.25">
      <c r="A10" t="s">
        <v>5</v>
      </c>
      <c r="B10" t="s">
        <v>12</v>
      </c>
      <c r="C10" t="s">
        <v>15</v>
      </c>
      <c r="D10" s="52">
        <f>'National Fitting'!P22</f>
        <v>4.9780244158952915E-2</v>
      </c>
      <c r="E10" s="56">
        <f t="shared" si="0"/>
        <v>5.0635451003516858E-2</v>
      </c>
      <c r="F10" s="62">
        <f>E10*$D$30</f>
        <v>6.5525813997087054E-2</v>
      </c>
      <c r="G10" s="58">
        <f t="shared" ref="G10" si="26">F10*$D$35</f>
        <v>8.2178314003841665E-2</v>
      </c>
      <c r="H10" s="56">
        <f t="shared" si="1"/>
        <v>8.5685098492384856E-2</v>
      </c>
      <c r="I10" s="57">
        <f t="shared" ref="I10:I12" si="27">H10*$H$30</f>
        <v>7.5563938416195464E-2</v>
      </c>
      <c r="J10" s="58">
        <f t="shared" ref="J10" si="28">I10*$H$35</f>
        <v>7.5189292880504577E-2</v>
      </c>
      <c r="K10" s="56">
        <f t="shared" si="3"/>
        <v>7.566250426162005E-2</v>
      </c>
      <c r="L10" s="57">
        <f t="shared" ref="L10:M12" si="29">K10*$L$30</f>
        <v>7.5296091000728635E-2</v>
      </c>
      <c r="M10" s="58">
        <f t="shared" ref="M10" si="30">L10*$L$35</f>
        <v>7.5280990738207987E-2</v>
      </c>
      <c r="N10" s="56">
        <f t="shared" si="5"/>
        <v>7.5302830752798464E-2</v>
      </c>
      <c r="O10" s="57">
        <f t="shared" ref="O10:O12" si="31">N10*$P$30</f>
        <v>7.5282986114233272E-2</v>
      </c>
      <c r="P10" s="58">
        <f t="shared" ref="P10" si="32">O10*$P$35</f>
        <v>7.5282168503553154E-2</v>
      </c>
    </row>
    <row r="11" spans="1:16" x14ac:dyDescent="0.25">
      <c r="A11" t="s">
        <v>5</v>
      </c>
      <c r="B11" t="s">
        <v>12</v>
      </c>
      <c r="C11" t="s">
        <v>16</v>
      </c>
      <c r="D11" s="52">
        <f>'National Fitting'!P23</f>
        <v>4.1101206929415081E-2</v>
      </c>
      <c r="E11" s="56">
        <f t="shared" si="0"/>
        <v>4.1807311009050316E-2</v>
      </c>
      <c r="F11" s="62">
        <f>E11*$D$30</f>
        <v>5.4101583586312542E-2</v>
      </c>
      <c r="G11" s="58">
        <f t="shared" ref="G11" si="33">F11*$D$36</f>
        <v>0.10752470632335603</v>
      </c>
      <c r="H11" s="56">
        <f t="shared" si="1"/>
        <v>0.11211309410960679</v>
      </c>
      <c r="I11" s="57">
        <f t="shared" si="27"/>
        <v>9.8870248012848647E-2</v>
      </c>
      <c r="J11" s="58">
        <f t="shared" ref="J11" si="34">I11*$H$36</f>
        <v>0.1012350390811151</v>
      </c>
      <c r="K11" s="56">
        <f t="shared" si="3"/>
        <v>0.10187217198695302</v>
      </c>
      <c r="L11" s="57">
        <f t="shared" si="29"/>
        <v>0.10137883231896155</v>
      </c>
      <c r="M11" s="58">
        <f t="shared" ref="M11" si="35">L11*$L$36</f>
        <v>0.10150505978217311</v>
      </c>
      <c r="N11" s="56">
        <f t="shared" si="5"/>
        <v>0.10153450774725582</v>
      </c>
      <c r="O11" s="57">
        <f t="shared" si="31"/>
        <v>0.10150775024573833</v>
      </c>
      <c r="P11" s="58">
        <f t="shared" ref="P11" si="36">O11*$P$36</f>
        <v>0.10151420491824679</v>
      </c>
    </row>
    <row r="12" spans="1:16" x14ac:dyDescent="0.25">
      <c r="A12" t="s">
        <v>6</v>
      </c>
      <c r="B12" t="s">
        <v>10</v>
      </c>
      <c r="C12" t="s">
        <v>14</v>
      </c>
      <c r="D12" s="52">
        <f>'National Fitting'!P24</f>
        <v>8.3465204504092075E-2</v>
      </c>
      <c r="E12" s="56">
        <f>D12*$D$24</f>
        <v>8.164024027443538E-2</v>
      </c>
      <c r="F12" s="62">
        <f>E12*$D$28</f>
        <v>6.819306238528719E-2</v>
      </c>
      <c r="G12" s="58">
        <f t="shared" ref="G12" si="37">F12*$D$34</f>
        <v>2.8358354149886782E-2</v>
      </c>
      <c r="H12" s="56">
        <f>G12*$H$24</f>
        <v>2.6901188767280964E-2</v>
      </c>
      <c r="I12" s="57">
        <f>H12*$H$28</f>
        <v>3.192769048014385E-2</v>
      </c>
      <c r="J12" s="58">
        <f t="shared" ref="J12" si="38">I12*$H$34</f>
        <v>3.0734094124208872E-2</v>
      </c>
      <c r="K12" s="56">
        <f>J12*$L$24</f>
        <v>3.0481776065404902E-2</v>
      </c>
      <c r="L12" s="57">
        <f>K12*$L$28</f>
        <v>3.0682713754524256E-2</v>
      </c>
      <c r="M12" s="58">
        <f t="shared" ref="M12" si="39">L12*$L$34</f>
        <v>3.0615703890725286E-2</v>
      </c>
      <c r="N12" s="56">
        <f>M12*$P$24</f>
        <v>3.06039561922739E-2</v>
      </c>
      <c r="O12" s="57">
        <f>N12*$P$28</f>
        <v>3.0614748139775196E-2</v>
      </c>
      <c r="P12" s="58">
        <f t="shared" ref="P12" si="40">O12*$P$34</f>
        <v>3.0611357068432848E-2</v>
      </c>
    </row>
    <row r="13" spans="1:16" x14ac:dyDescent="0.25">
      <c r="A13" t="s">
        <v>6</v>
      </c>
      <c r="B13" t="s">
        <v>10</v>
      </c>
      <c r="C13" t="s">
        <v>15</v>
      </c>
      <c r="D13" s="52">
        <f>'National Fitting'!P25</f>
        <v>4.3301216404871251E-2</v>
      </c>
      <c r="E13" s="56">
        <f t="shared" ref="E13:E20" si="41">D13*$D$24</f>
        <v>4.2354436587951981E-2</v>
      </c>
      <c r="F13" s="62">
        <f t="shared" ref="F13:F14" si="42">E13*$D$28</f>
        <v>3.5378126360565448E-2</v>
      </c>
      <c r="G13" s="58">
        <f t="shared" ref="G13" si="43">F13*$D$35</f>
        <v>4.4368999018545276E-2</v>
      </c>
      <c r="H13" s="56">
        <f t="shared" ref="H13:H20" si="44">G13*$H$24</f>
        <v>4.2089142822061679E-2</v>
      </c>
      <c r="I13" s="57">
        <f t="shared" ref="I13:I15" si="45">H13*$H$28</f>
        <v>4.9953521988284191E-2</v>
      </c>
      <c r="J13" s="58">
        <f t="shared" ref="J13" si="46">I13*$H$35</f>
        <v>4.9705852737617712E-2</v>
      </c>
      <c r="K13" s="56">
        <f t="shared" ref="K13:K20" si="47">J13*$L$24</f>
        <v>4.9297782006029994E-2</v>
      </c>
      <c r="L13" s="57">
        <f t="shared" ref="L13:L14" si="48">K13*$L$28</f>
        <v>4.9622755930572526E-2</v>
      </c>
      <c r="M13" s="58">
        <f t="shared" ref="M13" si="49">L13*$L$35</f>
        <v>4.9612804329744499E-2</v>
      </c>
      <c r="N13" s="56">
        <f t="shared" ref="N13:N20" si="50">M13*$P$24</f>
        <v>4.9593767162848912E-2</v>
      </c>
      <c r="O13" s="57">
        <f t="shared" ref="O13:O14" si="51">N13*$P$28</f>
        <v>4.9611255533576225E-2</v>
      </c>
      <c r="P13" s="58">
        <f t="shared" ref="P13" si="52">O13*$P$35</f>
        <v>4.9610716730661093E-2</v>
      </c>
    </row>
    <row r="14" spans="1:16" x14ac:dyDescent="0.25">
      <c r="A14" t="s">
        <v>6</v>
      </c>
      <c r="B14" t="s">
        <v>10</v>
      </c>
      <c r="C14" t="s">
        <v>16</v>
      </c>
      <c r="D14" s="52">
        <f>'National Fitting'!P26</f>
        <v>2.320827550120581E-2</v>
      </c>
      <c r="E14" s="56">
        <f t="shared" si="41"/>
        <v>2.270082724329563E-2</v>
      </c>
      <c r="F14" s="62">
        <f t="shared" si="42"/>
        <v>1.8961714507403707E-2</v>
      </c>
      <c r="G14" s="58">
        <f t="shared" ref="G14" si="53">F14*$D$36</f>
        <v>3.768563965494947E-2</v>
      </c>
      <c r="H14" s="56">
        <f t="shared" si="44"/>
        <v>3.5749201128358582E-2</v>
      </c>
      <c r="I14" s="57">
        <f t="shared" si="45"/>
        <v>4.242895875021243E-2</v>
      </c>
      <c r="J14" s="58">
        <f t="shared" ref="J14" si="54">I14*$H$36</f>
        <v>4.344377993964961E-2</v>
      </c>
      <c r="K14" s="56">
        <f t="shared" si="47"/>
        <v>4.3087119021739395E-2</v>
      </c>
      <c r="L14" s="57">
        <f t="shared" si="48"/>
        <v>4.337115188480032E-2</v>
      </c>
      <c r="M14" s="58">
        <f t="shared" ref="M14" si="55">L14*$L$36</f>
        <v>4.3425153596535933E-2</v>
      </c>
      <c r="N14" s="56">
        <f t="shared" si="50"/>
        <v>4.3408490722754614E-2</v>
      </c>
      <c r="O14" s="57">
        <f t="shared" si="51"/>
        <v>4.3423797964408185E-2</v>
      </c>
      <c r="P14" s="58">
        <f t="shared" ref="P14" si="56">O14*$P$36</f>
        <v>4.3426559195883181E-2</v>
      </c>
    </row>
    <row r="15" spans="1:16" x14ac:dyDescent="0.25">
      <c r="A15" t="s">
        <v>6</v>
      </c>
      <c r="B15" t="s">
        <v>11</v>
      </c>
      <c r="C15" t="s">
        <v>14</v>
      </c>
      <c r="D15" s="52">
        <f>'National Fitting'!P27</f>
        <v>7.5633258163399997E-2</v>
      </c>
      <c r="E15" s="56">
        <f t="shared" si="41"/>
        <v>7.3979539209008308E-2</v>
      </c>
      <c r="F15" s="62">
        <f>E15*$D$29</f>
        <v>6.8161154656723885E-2</v>
      </c>
      <c r="G15" s="58">
        <f t="shared" ref="G15" si="57">F15*$D$34</f>
        <v>2.8345085195024419E-2</v>
      </c>
      <c r="H15" s="56">
        <f t="shared" si="44"/>
        <v>2.6888601624260947E-2</v>
      </c>
      <c r="I15" s="57">
        <f>H15*$H$29</f>
        <v>2.7542177374987056E-2</v>
      </c>
      <c r="J15" s="58">
        <f t="shared" ref="J15" si="58">I15*$H$34</f>
        <v>2.6512530630893739E-2</v>
      </c>
      <c r="K15" s="56">
        <f t="shared" si="47"/>
        <v>2.6294870392211168E-2</v>
      </c>
      <c r="L15" s="57">
        <f>K15*$L$29</f>
        <v>2.6303478313455132E-2</v>
      </c>
      <c r="M15" s="58">
        <f t="shared" ref="M15" si="59">L15*$L$34</f>
        <v>2.6246032531008202E-2</v>
      </c>
      <c r="N15" s="56">
        <f t="shared" si="50"/>
        <v>2.6235961540093861E-2</v>
      </c>
      <c r="O15" s="57">
        <f>N15*$P$29</f>
        <v>2.6236464479748988E-2</v>
      </c>
      <c r="P15" s="58">
        <f t="shared" ref="P15" si="60">O15*$P$34</f>
        <v>2.6233558373109939E-2</v>
      </c>
    </row>
    <row r="16" spans="1:16" x14ac:dyDescent="0.25">
      <c r="A16" t="s">
        <v>6</v>
      </c>
      <c r="B16" t="s">
        <v>11</v>
      </c>
      <c r="C16" t="s">
        <v>15</v>
      </c>
      <c r="D16" s="52">
        <f>'National Fitting'!P28</f>
        <v>5.6476960976155538E-2</v>
      </c>
      <c r="E16" s="56">
        <f t="shared" si="41"/>
        <v>5.524209389359603E-2</v>
      </c>
      <c r="F16" s="62">
        <f t="shared" ref="F16:F17" si="61">E16*$D$29</f>
        <v>5.089738251551805E-2</v>
      </c>
      <c r="G16" s="58">
        <f t="shared" ref="G16" si="62">F16*$D$35</f>
        <v>6.3832264373241104E-2</v>
      </c>
      <c r="H16" s="56">
        <f t="shared" si="44"/>
        <v>6.0552307946771237E-2</v>
      </c>
      <c r="I16" s="57">
        <f t="shared" ref="I16:I18" si="63">H16*$H$29</f>
        <v>6.2024140535075184E-2</v>
      </c>
      <c r="J16" s="58">
        <f t="shared" ref="J16" si="64">I16*$H$35</f>
        <v>6.1716625232887741E-2</v>
      </c>
      <c r="K16" s="56">
        <f t="shared" si="47"/>
        <v>6.1209949519207656E-2</v>
      </c>
      <c r="L16" s="57">
        <f t="shared" ref="L16:M17" si="65">K16*$L$29</f>
        <v>6.122998728387237E-2</v>
      </c>
      <c r="M16" s="58">
        <f t="shared" ref="M16" si="66">L16*$L$35</f>
        <v>6.1217707909606928E-2</v>
      </c>
      <c r="N16" s="56">
        <f t="shared" si="50"/>
        <v>6.1194217769547629E-2</v>
      </c>
      <c r="O16" s="57">
        <f t="shared" ref="O16:O17" si="67">N16*$P$29</f>
        <v>6.1195390854007818E-2</v>
      </c>
      <c r="P16" s="58">
        <f t="shared" ref="P16" si="68">O16*$P$35</f>
        <v>6.1194726241620367E-2</v>
      </c>
    </row>
    <row r="17" spans="1:18" x14ac:dyDescent="0.25">
      <c r="A17" t="s">
        <v>6</v>
      </c>
      <c r="B17" t="s">
        <v>11</v>
      </c>
      <c r="C17" t="s">
        <v>16</v>
      </c>
      <c r="D17" s="52">
        <f>'National Fitting'!P29</f>
        <v>3.7890351289341984E-2</v>
      </c>
      <c r="E17" s="56">
        <f t="shared" si="41"/>
        <v>3.7061879878254919E-2</v>
      </c>
      <c r="F17" s="62">
        <f t="shared" si="61"/>
        <v>3.414701623260516E-2</v>
      </c>
      <c r="G17" s="58">
        <f t="shared" ref="G17" si="69">F17*$D$36</f>
        <v>6.7865811845822785E-2</v>
      </c>
      <c r="H17" s="56">
        <f t="shared" si="44"/>
        <v>6.437859565684774E-2</v>
      </c>
      <c r="I17" s="57">
        <f t="shared" si="63"/>
        <v>6.5943433039434146E-2</v>
      </c>
      <c r="J17" s="58">
        <f t="shared" ref="J17" si="70">I17*$H$36</f>
        <v>6.7520676392178805E-2</v>
      </c>
      <c r="K17" s="56">
        <f t="shared" si="47"/>
        <v>6.6966351090526718E-2</v>
      </c>
      <c r="L17" s="57">
        <f t="shared" si="65"/>
        <v>6.6988273277918578E-2</v>
      </c>
      <c r="M17" s="58">
        <f t="shared" ref="M17" si="71">L17*$L$36</f>
        <v>6.7071680825701238E-2</v>
      </c>
      <c r="N17" s="56">
        <f t="shared" si="50"/>
        <v>6.7045944429641874E-2</v>
      </c>
      <c r="O17" s="57">
        <f t="shared" si="67"/>
        <v>6.7047229690870722E-2</v>
      </c>
      <c r="P17" s="58">
        <f t="shared" ref="P17" si="72">O17*$P$36</f>
        <v>6.7051493088583769E-2</v>
      </c>
    </row>
    <row r="18" spans="1:18" x14ac:dyDescent="0.25">
      <c r="A18" t="s">
        <v>6</v>
      </c>
      <c r="B18" t="s">
        <v>12</v>
      </c>
      <c r="C18" t="s">
        <v>14</v>
      </c>
      <c r="D18" s="52">
        <f>'National Fitting'!P30</f>
        <v>4.0906525542859139E-2</v>
      </c>
      <c r="E18" s="56">
        <f t="shared" si="41"/>
        <v>4.0012105570862357E-2</v>
      </c>
      <c r="F18" s="62">
        <f>E18*$D$30</f>
        <v>5.1778462229674617E-2</v>
      </c>
      <c r="G18" s="58">
        <f t="shared" ref="G18" si="73">F18*$D$34</f>
        <v>2.1532277887001735E-2</v>
      </c>
      <c r="H18" s="56">
        <f t="shared" si="44"/>
        <v>2.0425863537997177E-2</v>
      </c>
      <c r="I18" s="57">
        <f>H18*$H$30</f>
        <v>1.801315189735125E-2</v>
      </c>
      <c r="J18" s="58">
        <f t="shared" ref="J18" si="74">I18*$H$34</f>
        <v>1.7339741696354938E-2</v>
      </c>
      <c r="K18" s="56">
        <f t="shared" si="47"/>
        <v>1.7197387412304629E-2</v>
      </c>
      <c r="L18" s="57">
        <f>K18*$L$30</f>
        <v>1.7114105067078951E-2</v>
      </c>
      <c r="M18" s="58">
        <f t="shared" ref="M18" si="75">L18*$L$34</f>
        <v>1.7076728521485191E-2</v>
      </c>
      <c r="N18" s="56">
        <f t="shared" si="50"/>
        <v>1.7070175928151958E-2</v>
      </c>
      <c r="O18" s="57">
        <f>N18*$P$30</f>
        <v>1.7065677405743808E-2</v>
      </c>
      <c r="P18" s="58">
        <f t="shared" ref="P18" si="76">O18*$P$34</f>
        <v>1.7063787109951593E-2</v>
      </c>
    </row>
    <row r="19" spans="1:18" x14ac:dyDescent="0.25">
      <c r="A19" t="s">
        <v>6</v>
      </c>
      <c r="B19" t="s">
        <v>12</v>
      </c>
      <c r="C19" t="s">
        <v>15</v>
      </c>
      <c r="D19" s="52">
        <f>'National Fitting'!P31</f>
        <v>4.0219755841047082E-2</v>
      </c>
      <c r="E19" s="56">
        <f t="shared" si="41"/>
        <v>3.9340352068282847E-2</v>
      </c>
      <c r="F19" s="62">
        <f t="shared" ref="F19:F20" si="77">E19*$D$30</f>
        <v>5.0909166228758983E-2</v>
      </c>
      <c r="G19" s="58">
        <f t="shared" ref="G19" si="78">F19*$D$35</f>
        <v>6.3847042757938274E-2</v>
      </c>
      <c r="H19" s="56">
        <f t="shared" si="44"/>
        <v>6.0566326959098707E-2</v>
      </c>
      <c r="I19" s="57">
        <f t="shared" ref="I19:I20" si="79">H19*$H$30</f>
        <v>5.341220680092041E-2</v>
      </c>
      <c r="J19" s="58">
        <f t="shared" ref="J19" si="80">I19*$H$35</f>
        <v>5.3147389412510251E-2</v>
      </c>
      <c r="K19" s="56">
        <f t="shared" si="47"/>
        <v>5.2711064656268278E-2</v>
      </c>
      <c r="L19" s="57">
        <f t="shared" ref="L19:M20" si="81">K19*$L$30</f>
        <v>5.245579907559203E-2</v>
      </c>
      <c r="M19" s="58">
        <f t="shared" ref="M19" si="82">L19*$L$35</f>
        <v>5.2445279321827326E-2</v>
      </c>
      <c r="N19" s="56">
        <f t="shared" si="50"/>
        <v>5.2425155292379212E-2</v>
      </c>
      <c r="O19" s="57">
        <f t="shared" ref="O19:O20" si="83">N19*$P$30</f>
        <v>5.2411339633019513E-2</v>
      </c>
      <c r="P19" s="58">
        <f t="shared" ref="P19" si="84">O19*$P$35</f>
        <v>5.2410770419798108E-2</v>
      </c>
    </row>
    <row r="20" spans="1:18" x14ac:dyDescent="0.25">
      <c r="A20" t="s">
        <v>6</v>
      </c>
      <c r="B20" t="s">
        <v>12</v>
      </c>
      <c r="C20" t="s">
        <v>16</v>
      </c>
      <c r="D20" s="52">
        <f>'National Fitting'!P32</f>
        <v>3.8898793070584914E-2</v>
      </c>
      <c r="E20" s="59">
        <f t="shared" si="41"/>
        <v>3.8048272109755601E-2</v>
      </c>
      <c r="F20" s="63">
        <f t="shared" si="77"/>
        <v>4.9237124421015632E-2</v>
      </c>
      <c r="G20" s="61">
        <f t="shared" ref="G20" si="85">F20*$D$36</f>
        <v>9.7856790737557223E-2</v>
      </c>
      <c r="H20" s="59">
        <f t="shared" si="44"/>
        <v>9.2828518392766041E-2</v>
      </c>
      <c r="I20" s="60">
        <f t="shared" si="79"/>
        <v>8.1863574536487738E-2</v>
      </c>
      <c r="J20" s="61">
        <f t="shared" ref="J20" si="86">I20*$H$36</f>
        <v>8.3821597842498791E-2</v>
      </c>
      <c r="K20" s="59">
        <f t="shared" si="47"/>
        <v>8.3133446671750377E-2</v>
      </c>
      <c r="L20" s="60">
        <f t="shared" si="81"/>
        <v>8.2730853635987089E-2</v>
      </c>
      <c r="M20" s="61">
        <f t="shared" ref="M20" si="87">L20*$L$36</f>
        <v>8.2833862376026052E-2</v>
      </c>
      <c r="N20" s="59">
        <f t="shared" si="50"/>
        <v>8.2802077797751103E-2</v>
      </c>
      <c r="O20" s="60">
        <f t="shared" si="83"/>
        <v>8.2780256874288902E-2</v>
      </c>
      <c r="P20" s="61">
        <f t="shared" ref="P20" si="88">O20*$P$36</f>
        <v>8.2785520703375817E-2</v>
      </c>
    </row>
    <row r="22" spans="1:18" x14ac:dyDescent="0.25">
      <c r="A22" t="s">
        <v>8</v>
      </c>
      <c r="B22" s="51" t="s">
        <v>48</v>
      </c>
      <c r="C22" s="51" t="s">
        <v>36</v>
      </c>
      <c r="D22" t="s">
        <v>38</v>
      </c>
      <c r="E22" t="s">
        <v>43</v>
      </c>
      <c r="F22" s="51" t="s">
        <v>44</v>
      </c>
      <c r="G22" s="51" t="s">
        <v>36</v>
      </c>
      <c r="H22" t="s">
        <v>38</v>
      </c>
      <c r="I22" t="s">
        <v>46</v>
      </c>
      <c r="J22" t="s">
        <v>44</v>
      </c>
      <c r="K22" s="51" t="s">
        <v>36</v>
      </c>
      <c r="L22" t="s">
        <v>38</v>
      </c>
      <c r="M22" t="s">
        <v>47</v>
      </c>
      <c r="N22" t="s">
        <v>44</v>
      </c>
      <c r="O22" s="51" t="s">
        <v>36</v>
      </c>
      <c r="P22" t="s">
        <v>38</v>
      </c>
      <c r="Q22" t="s">
        <v>53</v>
      </c>
      <c r="R22" t="s">
        <v>44</v>
      </c>
    </row>
    <row r="23" spans="1:18" x14ac:dyDescent="0.25">
      <c r="A23" t="s">
        <v>5</v>
      </c>
      <c r="B23" s="51">
        <f>Marginals!$J$10</f>
        <v>0.569620253164557</v>
      </c>
      <c r="C23" s="51">
        <f>SUMIF($A$3:$A$20,$A23,$D$3:$D$20)</f>
        <v>0.55999965870644219</v>
      </c>
      <c r="D23">
        <f>$B23/C23</f>
        <v>1.0171796434311007</v>
      </c>
      <c r="E23">
        <f>SUMIF($A$3:$A$20,$A23,$G$3:$G$20)</f>
        <v>0.54630773438003299</v>
      </c>
      <c r="F23" s="51">
        <f>ABS($B23-E23)</f>
        <v>2.3312518784524006E-2</v>
      </c>
      <c r="G23" s="51">
        <f>SUMIF($A$3:$A$20,$A23,$G$3:$G$20)</f>
        <v>0.54630773438003299</v>
      </c>
      <c r="H23">
        <f>$B23/G23</f>
        <v>1.0426728697351866</v>
      </c>
      <c r="I23">
        <f>SUMIF($A$3:$A$20,$A23,$J$3:$J$20)</f>
        <v>0.56605771199119959</v>
      </c>
      <c r="J23" s="51">
        <f>ABS($B23-I23)</f>
        <v>3.5625411733574142E-3</v>
      </c>
      <c r="K23" s="51">
        <f>SUMIF($A$3:$A$20,$A23,$J$3:$J$20)</f>
        <v>0.56605771199119959</v>
      </c>
      <c r="L23">
        <f>$B23/K23</f>
        <v>1.0062936006309773</v>
      </c>
      <c r="M23">
        <f>SUMIF($A$3:$A$20,$A23,$M$3:$M$20)</f>
        <v>0.56945504669733948</v>
      </c>
      <c r="N23" s="51">
        <f>ABS($B23-M23)</f>
        <v>1.6520646721751575E-4</v>
      </c>
      <c r="O23" s="51">
        <f>SUMIF($A$3:$A$20,$A23,$M$3:$M$20)</f>
        <v>0.56945504669733948</v>
      </c>
      <c r="P23">
        <f>$B23/O23</f>
        <v>1.0002901132726378</v>
      </c>
      <c r="Q23">
        <f>SUMIF($A$3:$A$20,$A23,$P$3:$P$20)</f>
        <v>0.56961151106858321</v>
      </c>
      <c r="R23" s="51">
        <f>ABS($B23-Q23)</f>
        <v>8.742095973790498E-6</v>
      </c>
    </row>
    <row r="24" spans="1:18" x14ac:dyDescent="0.25">
      <c r="A24" t="s">
        <v>6</v>
      </c>
      <c r="B24" s="51">
        <f>Marginals!$K$10</f>
        <v>0.43037974683544306</v>
      </c>
      <c r="C24" s="51">
        <f>SUMIF($A$3:$A$20,$A24,$D$3:$D$20)</f>
        <v>0.44000034129355781</v>
      </c>
      <c r="D24">
        <f>$B24/C24</f>
        <v>0.97813502955513365</v>
      </c>
      <c r="E24">
        <f>SUMIF($A$3:$A$20,$A24,$G$3:$G$20)</f>
        <v>0.45369226561996706</v>
      </c>
      <c r="F24" s="51">
        <f>ABS($B24-E24)</f>
        <v>2.3312518784524006E-2</v>
      </c>
      <c r="G24" s="51">
        <f>SUMIF($A$3:$A$20,$A24,$G$3:$G$20)</f>
        <v>0.45369226561996706</v>
      </c>
      <c r="H24">
        <f>$B24/G24</f>
        <v>0.94861601012160168</v>
      </c>
      <c r="I24">
        <f>SUMIF($A$3:$A$20,$A24,$J$3:$J$20)</f>
        <v>0.43394228800880041</v>
      </c>
      <c r="J24" s="51">
        <f>ABS($B24-I24)</f>
        <v>3.5625411733573586E-3</v>
      </c>
      <c r="K24" s="51">
        <f>SUMIF($A$3:$A$20,$A24,$J$3:$J$20)</f>
        <v>0.43394228800880041</v>
      </c>
      <c r="L24">
        <f>$B24/K24</f>
        <v>0.99179028808253622</v>
      </c>
      <c r="M24">
        <f>SUMIF($A$3:$A$20,$A24,$M$3:$M$20)</f>
        <v>0.43054495330266063</v>
      </c>
      <c r="N24" s="51">
        <f>ABS($B24-M24)</f>
        <v>1.6520646721757126E-4</v>
      </c>
      <c r="O24" s="51">
        <f>SUMIF($A$3:$A$20,$A24,$M$3:$M$20)</f>
        <v>0.43054495330266063</v>
      </c>
      <c r="P24">
        <f>$B24/O24</f>
        <v>0.99961628520796653</v>
      </c>
      <c r="Q24">
        <f>SUMIF($A$3:$A$20,$A24,$P$3:$P$20)</f>
        <v>0.43038848893141674</v>
      </c>
      <c r="R24" s="51">
        <f>ABS($B24-Q24)</f>
        <v>8.7420959736794757E-6</v>
      </c>
    </row>
    <row r="25" spans="1:18" x14ac:dyDescent="0.25">
      <c r="E25" s="45" t="s">
        <v>52</v>
      </c>
      <c r="F25" s="64">
        <f>MAX(F23:F24)</f>
        <v>2.3312518784524006E-2</v>
      </c>
      <c r="I25" s="45" t="s">
        <v>52</v>
      </c>
      <c r="J25" s="64">
        <f>MAX(J23:J24)</f>
        <v>3.5625411733574142E-3</v>
      </c>
      <c r="M25" s="45" t="s">
        <v>52</v>
      </c>
      <c r="N25" s="64">
        <f>MAX(N23:N24)</f>
        <v>1.6520646721757126E-4</v>
      </c>
      <c r="Q25" s="45" t="s">
        <v>52</v>
      </c>
      <c r="R25" s="64">
        <f>MAX(R23:R24)</f>
        <v>8.742095973790498E-6</v>
      </c>
    </row>
    <row r="27" spans="1:18" x14ac:dyDescent="0.25">
      <c r="A27" t="s">
        <v>13</v>
      </c>
      <c r="B27" s="51" t="s">
        <v>48</v>
      </c>
      <c r="C27" s="51" t="s">
        <v>36</v>
      </c>
      <c r="D27" t="s">
        <v>38</v>
      </c>
      <c r="E27" t="s">
        <v>43</v>
      </c>
      <c r="F27" s="51" t="s">
        <v>44</v>
      </c>
      <c r="G27" s="51" t="s">
        <v>36</v>
      </c>
      <c r="H27" t="s">
        <v>38</v>
      </c>
      <c r="I27" t="s">
        <v>46</v>
      </c>
      <c r="J27" t="s">
        <v>44</v>
      </c>
      <c r="K27" s="51" t="s">
        <v>36</v>
      </c>
      <c r="L27" t="s">
        <v>38</v>
      </c>
      <c r="M27" t="s">
        <v>47</v>
      </c>
      <c r="N27" t="s">
        <v>44</v>
      </c>
      <c r="O27" s="51" t="s">
        <v>36</v>
      </c>
      <c r="P27" t="s">
        <v>38</v>
      </c>
      <c r="Q27" t="s">
        <v>53</v>
      </c>
      <c r="R27" t="s">
        <v>44</v>
      </c>
    </row>
    <row r="28" spans="1:18" x14ac:dyDescent="0.25">
      <c r="A28" t="s">
        <v>10</v>
      </c>
      <c r="B28" s="51">
        <f>Marginals!$J$17</f>
        <v>0.25</v>
      </c>
      <c r="C28" s="51">
        <f>SUMIF($B$3:$B$20,$A28,$E$3:$E$20)</f>
        <v>0.2992981889168298</v>
      </c>
      <c r="D28">
        <f>$B28/C28</f>
        <v>0.83528737980259216</v>
      </c>
      <c r="E28" s="51">
        <f>SUMIF($B$3:$B$20,$A28,$G$3:$G$20)</f>
        <v>0.21198078886512128</v>
      </c>
      <c r="F28" s="51">
        <f t="shared" ref="F28:F30" si="89">ABS($B28-E28)</f>
        <v>3.8019211134878717E-2</v>
      </c>
      <c r="G28" s="51">
        <f>SUMIF($B$3:$B$20,$A28,$H$3:$H$20)</f>
        <v>0.21064151808922013</v>
      </c>
      <c r="H28">
        <f>$B28/G28</f>
        <v>1.186850542418276</v>
      </c>
      <c r="I28" s="51">
        <f>SUMIF($B$3:$B$20,$A28,$J$3:$J$20)</f>
        <v>0.24859494483723144</v>
      </c>
      <c r="J28" s="51">
        <f t="shared" ref="J28:J30" si="90">ABS($B28-I28)</f>
        <v>1.4050551627685648E-3</v>
      </c>
      <c r="K28" s="51">
        <f>SUMIF($B$3:$B$20,$A28,$K$3:$K$20)</f>
        <v>0.24836277772944931</v>
      </c>
      <c r="L28">
        <f>$B28/K28</f>
        <v>1.0065920597503308</v>
      </c>
      <c r="M28" s="51">
        <f>SUMIF($B$3:$B$20,$A28,$M$3:$M$20)</f>
        <v>0.24992268838704354</v>
      </c>
      <c r="N28" s="51">
        <f t="shared" ref="N28:N30" si="91">ABS($B28-M28)</f>
        <v>7.7311612956459941E-5</v>
      </c>
      <c r="O28" s="51">
        <f>SUMIF($B$3:$B$20,$A28,$N$3:$N$20)</f>
        <v>0.24991187296844625</v>
      </c>
      <c r="P28">
        <f>$B28/O28</f>
        <v>1.0003526324320129</v>
      </c>
      <c r="Q28" s="51">
        <f>SUMIF($B$3:$B$20,$A28,$P$3:$P$20)</f>
        <v>0.24999606826291915</v>
      </c>
      <c r="R28" s="51">
        <f t="shared" ref="R28:R30" si="92">ABS($B28-Q28)</f>
        <v>3.9317370808533703E-6</v>
      </c>
    </row>
    <row r="29" spans="1:18" x14ac:dyDescent="0.25">
      <c r="A29" t="s">
        <v>11</v>
      </c>
      <c r="B29" s="51">
        <f>Marginals!$K$17</f>
        <v>0.38750000000000001</v>
      </c>
      <c r="C29" s="51">
        <f t="shared" ref="C29:G30" si="93">SUMIF($B$3:$B$20,$A29,$E$3:$E$20)</f>
        <v>0.4205778436099718</v>
      </c>
      <c r="D29">
        <f>$B29/C29</f>
        <v>0.92135143561997301</v>
      </c>
      <c r="E29" s="51">
        <f t="shared" ref="E29:E30" si="94">SUMIF($B$3:$B$20,$A29,$G$3:$G$20)</f>
        <v>0.3772590572254006</v>
      </c>
      <c r="F29" s="51">
        <f t="shared" si="89"/>
        <v>1.0240942774599415E-2</v>
      </c>
      <c r="G29" s="51">
        <f t="shared" ref="G29:G30" si="95">SUMIF($B$3:$B$20,$A29,$H$3:$H$20)</f>
        <v>0.3783046266655602</v>
      </c>
      <c r="H29">
        <f>$B29/G29</f>
        <v>1.0243067958631364</v>
      </c>
      <c r="I29" s="51">
        <f t="shared" ref="I29:I30" si="96">SUMIF($B$3:$B$20,$A29,$J$3:$J$20)</f>
        <v>0.3871952254160439</v>
      </c>
      <c r="J29" s="51">
        <f t="shared" si="90"/>
        <v>3.0477458395611334E-4</v>
      </c>
      <c r="K29" s="51">
        <f t="shared" ref="K29:K30" si="97">SUMIF($B$3:$B$20,$A29,$K$3:$K$20)</f>
        <v>0.38737318903445828</v>
      </c>
      <c r="L29">
        <f>$B29/K29</f>
        <v>1.0003273612349317</v>
      </c>
      <c r="M29" s="51">
        <f t="shared" ref="M29:M30" si="98">SUMIF($B$3:$B$20,$A29,$M$3:$M$20)</f>
        <v>0.38748428779146105</v>
      </c>
      <c r="N29" s="51">
        <f t="shared" si="91"/>
        <v>1.5712208538964934E-5</v>
      </c>
      <c r="O29" s="51">
        <f t="shared" ref="O29:O30" si="99">SUMIF($B$3:$B$20,$A29,$N$3:$N$20)</f>
        <v>0.387492571822453</v>
      </c>
      <c r="P29">
        <f>$B29/O29</f>
        <v>1.0000191698579204</v>
      </c>
      <c r="Q29" s="51">
        <f t="shared" ref="Q29:Q30" si="100">SUMIF($B$3:$B$20,$A29,$P$3:$P$20)</f>
        <v>0.38749919569625174</v>
      </c>
      <c r="R29" s="51">
        <f t="shared" si="92"/>
        <v>8.0430374826967466E-7</v>
      </c>
    </row>
    <row r="30" spans="1:18" x14ac:dyDescent="0.25">
      <c r="A30" t="s">
        <v>12</v>
      </c>
      <c r="B30" s="51">
        <f>Marginals!$L$17</f>
        <v>0.36249999999999999</v>
      </c>
      <c r="C30" s="51">
        <f t="shared" si="93"/>
        <v>0.2801239674731984</v>
      </c>
      <c r="D30">
        <f>$B30/C30</f>
        <v>1.2940699193641227</v>
      </c>
      <c r="E30" s="51">
        <f t="shared" si="94"/>
        <v>0.41076015390947812</v>
      </c>
      <c r="F30" s="51">
        <f t="shared" si="89"/>
        <v>4.8260153909478132E-2</v>
      </c>
      <c r="G30" s="51">
        <f t="shared" si="95"/>
        <v>0.41105385524521976</v>
      </c>
      <c r="H30">
        <f>$B30/G30</f>
        <v>0.88187957702950071</v>
      </c>
      <c r="I30" s="51">
        <f t="shared" si="96"/>
        <v>0.36420982974672467</v>
      </c>
      <c r="J30" s="51">
        <f t="shared" si="90"/>
        <v>1.7098297467246781E-3</v>
      </c>
      <c r="K30" s="51">
        <f t="shared" si="97"/>
        <v>0.36426403323609258</v>
      </c>
      <c r="L30">
        <f>$B30/K30</f>
        <v>0.99515726759949075</v>
      </c>
      <c r="M30" s="51">
        <f t="shared" si="98"/>
        <v>0.3625930238214955</v>
      </c>
      <c r="N30" s="51">
        <f t="shared" si="91"/>
        <v>9.3023821495508141E-5</v>
      </c>
      <c r="O30" s="51">
        <f t="shared" si="99"/>
        <v>0.36259555520910086</v>
      </c>
      <c r="P30">
        <f>$B30/O30</f>
        <v>0.99973646889012258</v>
      </c>
      <c r="Q30" s="51">
        <f t="shared" si="100"/>
        <v>0.36250473604082906</v>
      </c>
      <c r="R30" s="51">
        <f t="shared" si="92"/>
        <v>4.7360408290675338E-6</v>
      </c>
    </row>
    <row r="31" spans="1:18" x14ac:dyDescent="0.25">
      <c r="E31" s="45" t="s">
        <v>52</v>
      </c>
      <c r="F31" s="64">
        <f>MAX(F28:F30)</f>
        <v>4.8260153909478132E-2</v>
      </c>
      <c r="I31" s="45" t="s">
        <v>52</v>
      </c>
      <c r="J31" s="64">
        <f>MAX(J28:J30)</f>
        <v>1.7098297467246781E-3</v>
      </c>
      <c r="M31" s="45" t="s">
        <v>52</v>
      </c>
      <c r="N31" s="64">
        <f>MAX(N28:N30)</f>
        <v>9.3023821495508141E-5</v>
      </c>
      <c r="Q31" s="45" t="s">
        <v>52</v>
      </c>
      <c r="R31" s="64">
        <f>MAX(R28:R30)</f>
        <v>4.7360408290675338E-6</v>
      </c>
    </row>
    <row r="33" spans="1:18" x14ac:dyDescent="0.25">
      <c r="A33" t="s">
        <v>17</v>
      </c>
      <c r="B33" s="51" t="s">
        <v>48</v>
      </c>
      <c r="C33" s="51" t="s">
        <v>36</v>
      </c>
      <c r="D33" t="s">
        <v>38</v>
      </c>
      <c r="E33" t="s">
        <v>43</v>
      </c>
      <c r="F33" s="51" t="s">
        <v>44</v>
      </c>
      <c r="G33" s="51" t="s">
        <v>36</v>
      </c>
      <c r="H33" t="s">
        <v>38</v>
      </c>
      <c r="I33" t="s">
        <v>46</v>
      </c>
      <c r="J33" t="s">
        <v>44</v>
      </c>
      <c r="K33" s="51" t="s">
        <v>36</v>
      </c>
      <c r="L33" t="s">
        <v>38</v>
      </c>
      <c r="M33" t="s">
        <v>47</v>
      </c>
      <c r="N33" t="s">
        <v>44</v>
      </c>
      <c r="O33" s="51" t="s">
        <v>36</v>
      </c>
      <c r="P33" t="s">
        <v>38</v>
      </c>
      <c r="Q33" t="s">
        <v>53</v>
      </c>
      <c r="R33" t="s">
        <v>44</v>
      </c>
    </row>
    <row r="34" spans="1:18" x14ac:dyDescent="0.25">
      <c r="A34" t="s">
        <v>14</v>
      </c>
      <c r="B34" s="51">
        <f>Marginals!$J$24</f>
        <v>0.20253164556962025</v>
      </c>
      <c r="C34" s="51">
        <f>SUMIF($C$3:$C$20,$A34,$F$3:$F$20)</f>
        <v>0.4870259066631738</v>
      </c>
      <c r="D34">
        <f>$B34/C34</f>
        <v>0.41585394698457129</v>
      </c>
      <c r="E34" s="51">
        <f>SUMIF($C$3:$C$20,$A34,$G$3:$G$20)</f>
        <v>0.20253164556962022</v>
      </c>
      <c r="F34" s="51">
        <f>ABS($B34-E34)</f>
        <v>2.7755575615628914E-17</v>
      </c>
      <c r="G34" s="51">
        <f>SUMIF($C$3:$C$20,$A34,$I$3:$I$20)</f>
        <v>0.2103972111898868</v>
      </c>
      <c r="H34">
        <f>$B34/G34</f>
        <v>0.96261563746124112</v>
      </c>
      <c r="I34" s="51">
        <f>SUMIF($C$3:$C$20,$A34,$J$3:$J$20)</f>
        <v>0.20253164556962022</v>
      </c>
      <c r="J34" s="51">
        <f>ABS($B34-I34)</f>
        <v>2.7755575615628914E-17</v>
      </c>
      <c r="K34" s="51">
        <f>SUMIF($C$3:$C$20,$A34,$L$3:$L$20)</f>
        <v>0.20297493500150926</v>
      </c>
      <c r="L34">
        <f>$B34/K34</f>
        <v>0.99781603855724499</v>
      </c>
      <c r="M34" s="51">
        <f>SUMIF($C$3:$C$20,$A34,$M$3:$M$20)</f>
        <v>0.20253164556962028</v>
      </c>
      <c r="N34" s="51">
        <f>ABS($B34-M34)</f>
        <v>2.7755575615628914E-17</v>
      </c>
      <c r="O34" s="51">
        <f>SUMIF($C$3:$C$20,$A34,$O$3:$O$20)</f>
        <v>0.20255408166278902</v>
      </c>
      <c r="P34">
        <f>$B34/O34</f>
        <v>0.99988923406043173</v>
      </c>
      <c r="Q34" s="51">
        <f>SUMIF($C$3:$C$20,$A34,$P$3:$P$20)</f>
        <v>0.20253164556962031</v>
      </c>
      <c r="R34" s="51">
        <f>ABS($B34-Q34)</f>
        <v>5.5511151231257827E-17</v>
      </c>
    </row>
    <row r="35" spans="1:18" x14ac:dyDescent="0.25">
      <c r="A35" t="s">
        <v>15</v>
      </c>
      <c r="B35" s="51">
        <f>Marginals!$K$24</f>
        <v>0.379746835443038</v>
      </c>
      <c r="C35" s="51">
        <f t="shared" ref="C35:I36" si="101">SUMIF($C$3:$C$20,$A35,$F$3:$F$20)</f>
        <v>0.30279546139215868</v>
      </c>
      <c r="D35">
        <f>$B35/C35</f>
        <v>1.2541364844013216</v>
      </c>
      <c r="E35" s="51">
        <f t="shared" ref="E35:E36" si="102">SUMIF($C$3:$C$20,$A35,$G$3:$G$20)</f>
        <v>0.37974683544303811</v>
      </c>
      <c r="F35" s="51">
        <f t="shared" ref="F35:F36" si="103">ABS($B35-E35)</f>
        <v>1.1102230246251565E-16</v>
      </c>
      <c r="G35" s="51">
        <f t="shared" ref="G35:G36" si="104">SUMIF($C$3:$C$20,$A35,$I$3:$I$20)</f>
        <v>0.381638999222495</v>
      </c>
      <c r="H35">
        <f>$B35/G35</f>
        <v>0.99504200623282246</v>
      </c>
      <c r="I35" s="51">
        <f t="shared" ref="I35:I36" si="105">SUMIF($C$3:$C$20,$A35,$J$3:$J$20)</f>
        <v>0.37974683544303794</v>
      </c>
      <c r="J35" s="51">
        <f t="shared" ref="J35:J36" si="106">ABS($B35-I35)</f>
        <v>5.5511151231257827E-17</v>
      </c>
      <c r="K35" s="51">
        <f t="shared" ref="K35:K36" si="107">SUMIF($C$3:$C$20,$A35,$L$3:$L$20)</f>
        <v>0.37982300708810202</v>
      </c>
      <c r="L35">
        <f>$B35/K35</f>
        <v>0.99979945489440469</v>
      </c>
      <c r="M35" s="51">
        <f t="shared" ref="M35:M36" si="108">SUMIF($C$3:$C$20,$A35,$M$3:$M$20)</f>
        <v>0.379746835443038</v>
      </c>
      <c r="N35" s="51">
        <f t="shared" ref="N35:N36" si="109">ABS($B35-M35)</f>
        <v>0</v>
      </c>
      <c r="O35" s="51">
        <f t="shared" ref="O35:O36" si="110">SUMIF($C$3:$C$20,$A35,$O$3:$O$20)</f>
        <v>0.37975095972737477</v>
      </c>
      <c r="P35">
        <f>$B35/O35</f>
        <v>0.99998913950253154</v>
      </c>
      <c r="Q35" s="51">
        <f t="shared" ref="Q35:Q36" si="111">SUMIF($C$3:$C$20,$A35,$P$3:$P$20)</f>
        <v>0.379746835443038</v>
      </c>
      <c r="R35" s="51">
        <f t="shared" ref="R35:R36" si="112">ABS($B35-Q35)</f>
        <v>0</v>
      </c>
    </row>
    <row r="36" spans="1:18" x14ac:dyDescent="0.25">
      <c r="A36" t="s">
        <v>16</v>
      </c>
      <c r="B36" s="51">
        <f>Marginals!$L$24</f>
        <v>0.41772151898734178</v>
      </c>
      <c r="C36" s="51">
        <f t="shared" si="101"/>
        <v>0.21017863194466754</v>
      </c>
      <c r="D36">
        <f>$B36/C36</f>
        <v>1.9874595011033891</v>
      </c>
      <c r="E36" s="51">
        <f t="shared" si="102"/>
        <v>0.41772151898734178</v>
      </c>
      <c r="F36" s="51">
        <f t="shared" si="103"/>
        <v>0</v>
      </c>
      <c r="G36" s="51">
        <f t="shared" si="104"/>
        <v>0.40796378958761825</v>
      </c>
      <c r="H36">
        <f>$B36/G36</f>
        <v>1.0239181261885693</v>
      </c>
      <c r="I36" s="51">
        <f t="shared" si="105"/>
        <v>0.41772151898734189</v>
      </c>
      <c r="J36" s="51">
        <f t="shared" si="106"/>
        <v>1.1102230246251565E-16</v>
      </c>
      <c r="K36" s="51">
        <f t="shared" si="107"/>
        <v>0.41720205791038856</v>
      </c>
      <c r="L36">
        <f>$B36/K36</f>
        <v>1.0012451066985504</v>
      </c>
      <c r="M36" s="51">
        <f t="shared" si="108"/>
        <v>0.41772151898734178</v>
      </c>
      <c r="N36" s="51">
        <f t="shared" si="109"/>
        <v>0</v>
      </c>
      <c r="O36" s="51">
        <f t="shared" si="110"/>
        <v>0.41769495860983619</v>
      </c>
      <c r="P36">
        <f>$B36/O36</f>
        <v>1.0000635879772022</v>
      </c>
      <c r="Q36" s="51">
        <f t="shared" si="111"/>
        <v>0.41772151898734167</v>
      </c>
      <c r="R36" s="51">
        <f t="shared" si="112"/>
        <v>1.1102230246251565E-16</v>
      </c>
    </row>
    <row r="37" spans="1:18" x14ac:dyDescent="0.25">
      <c r="E37" s="45" t="s">
        <v>52</v>
      </c>
      <c r="F37" s="64">
        <f>MAX(F34:F36)</f>
        <v>1.1102230246251565E-16</v>
      </c>
      <c r="I37" s="45" t="s">
        <v>52</v>
      </c>
      <c r="J37" s="64">
        <f>MAX(J34:J36)</f>
        <v>1.1102230246251565E-16</v>
      </c>
      <c r="M37" s="45" t="s">
        <v>52</v>
      </c>
      <c r="N37" s="64">
        <f>MAX(N34:N36)</f>
        <v>2.7755575615628914E-17</v>
      </c>
      <c r="Q37" s="45" t="s">
        <v>52</v>
      </c>
      <c r="R37" s="64">
        <f>MAX(R34:R36)</f>
        <v>1.1102230246251565E-16</v>
      </c>
    </row>
    <row r="39" spans="1:18" x14ac:dyDescent="0.25">
      <c r="E39" s="45" t="s">
        <v>52</v>
      </c>
      <c r="F39" s="64">
        <f>MAX(F25,F31,F37)</f>
        <v>4.8260153909478132E-2</v>
      </c>
      <c r="I39" s="45" t="s">
        <v>52</v>
      </c>
      <c r="J39" s="46">
        <f>MAX(J25,J31,J37)</f>
        <v>3.5625411733574142E-3</v>
      </c>
      <c r="M39" s="45" t="s">
        <v>52</v>
      </c>
      <c r="N39" s="46">
        <f>MAX(N25,N31,N37)</f>
        <v>1.6520646721757126E-4</v>
      </c>
      <c r="Q39" s="45" t="s">
        <v>52</v>
      </c>
      <c r="R39" s="64">
        <f>MAX(R25,R31,R37)</f>
        <v>8.742095973790498E-6</v>
      </c>
    </row>
  </sheetData>
  <mergeCells count="4">
    <mergeCell ref="H1:J1"/>
    <mergeCell ref="K1:M1"/>
    <mergeCell ref="N1:P1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2E04-4E42-4714-8A7D-AF4220B204CA}">
  <dimension ref="A1:R39"/>
  <sheetViews>
    <sheetView topLeftCell="A2" zoomScale="115" zoomScaleNormal="115" workbookViewId="0">
      <selection activeCell="B3" sqref="B3"/>
    </sheetView>
  </sheetViews>
  <sheetFormatPr defaultRowHeight="15" x14ac:dyDescent="0.25"/>
  <cols>
    <col min="1" max="1" width="8.140625" bestFit="1" customWidth="1"/>
    <col min="2" max="2" width="8.28515625" style="51" bestFit="1" customWidth="1"/>
    <col min="3" max="3" width="14.140625" style="51" bestFit="1" customWidth="1"/>
    <col min="6" max="6" width="13.42578125" style="51" bestFit="1" customWidth="1"/>
    <col min="18" max="18" width="10.5703125" bestFit="1" customWidth="1"/>
  </cols>
  <sheetData>
    <row r="1" spans="1:16" x14ac:dyDescent="0.25">
      <c r="A1" s="6" t="s">
        <v>31</v>
      </c>
      <c r="B1"/>
      <c r="C1"/>
      <c r="E1" s="53" t="s">
        <v>43</v>
      </c>
      <c r="F1" s="54"/>
      <c r="G1" s="55"/>
      <c r="H1" s="53" t="s">
        <v>46</v>
      </c>
      <c r="I1" s="54"/>
      <c r="J1" s="55"/>
      <c r="K1" s="53" t="s">
        <v>47</v>
      </c>
      <c r="L1" s="54"/>
      <c r="M1" s="55"/>
      <c r="N1" s="53" t="s">
        <v>53</v>
      </c>
      <c r="O1" s="54"/>
      <c r="P1" s="55"/>
    </row>
    <row r="2" spans="1:16" ht="18" x14ac:dyDescent="0.35">
      <c r="A2" t="s">
        <v>18</v>
      </c>
      <c r="B2" t="s">
        <v>19</v>
      </c>
      <c r="C2" t="s">
        <v>21</v>
      </c>
      <c r="D2" t="s">
        <v>32</v>
      </c>
      <c r="E2" s="56" t="s">
        <v>49</v>
      </c>
      <c r="F2" s="62" t="s">
        <v>50</v>
      </c>
      <c r="G2" s="58" t="s">
        <v>51</v>
      </c>
      <c r="H2" s="56" t="s">
        <v>49</v>
      </c>
      <c r="I2" s="57" t="s">
        <v>50</v>
      </c>
      <c r="J2" s="58" t="s">
        <v>51</v>
      </c>
      <c r="K2" s="56" t="s">
        <v>49</v>
      </c>
      <c r="L2" s="57" t="s">
        <v>50</v>
      </c>
      <c r="M2" s="58" t="s">
        <v>51</v>
      </c>
      <c r="N2" s="56" t="s">
        <v>49</v>
      </c>
      <c r="O2" s="57" t="s">
        <v>50</v>
      </c>
      <c r="P2" s="58" t="s">
        <v>51</v>
      </c>
    </row>
    <row r="3" spans="1:16" x14ac:dyDescent="0.25">
      <c r="A3" t="s">
        <v>5</v>
      </c>
      <c r="B3" t="s">
        <v>10</v>
      </c>
      <c r="C3" t="s">
        <v>14</v>
      </c>
      <c r="D3" s="52">
        <f>'National Fitting'!P15</f>
        <v>9.6534795495907932E-2</v>
      </c>
      <c r="E3" s="56">
        <f>D3*$D$23</f>
        <v>9.7117559687468255E-2</v>
      </c>
      <c r="F3" s="62">
        <f>E3*$D$28</f>
        <v>0.11571126195678361</v>
      </c>
      <c r="G3" s="58">
        <f>F3*$D$34</f>
        <v>4.5144572344002577E-2</v>
      </c>
      <c r="H3" s="56">
        <f>G3*$H$23</f>
        <v>4.7918151808879698E-2</v>
      </c>
      <c r="I3" s="57">
        <f>H3*$H$28</f>
        <v>5.5932254189034879E-2</v>
      </c>
      <c r="J3" s="58">
        <f>I3*$H$34</f>
        <v>5.3536971272226591E-2</v>
      </c>
      <c r="K3" s="56">
        <f>J3*$L$23</f>
        <v>5.3996622378601283E-2</v>
      </c>
      <c r="L3" s="57">
        <f>K3*$L$28</f>
        <v>5.433720807324359E-2</v>
      </c>
      <c r="M3" s="58">
        <f>L3*$L$34</f>
        <v>5.4190660953974484E-2</v>
      </c>
      <c r="N3" s="56">
        <f>M3*$P$23</f>
        <v>5.4212757748654458E-2</v>
      </c>
      <c r="O3" s="57">
        <f>N3*$P$28</f>
        <v>5.4232081921463969E-2</v>
      </c>
      <c r="P3" s="58">
        <f>O3*$P$34</f>
        <v>5.4224345476209593E-2</v>
      </c>
    </row>
    <row r="4" spans="1:16" x14ac:dyDescent="0.25">
      <c r="A4" t="s">
        <v>5</v>
      </c>
      <c r="B4" t="s">
        <v>10</v>
      </c>
      <c r="C4" t="s">
        <v>15</v>
      </c>
      <c r="D4" s="52">
        <f>'National Fitting'!P16</f>
        <v>3.6698783595128757E-2</v>
      </c>
      <c r="E4" s="56">
        <f t="shared" ref="E4:E11" si="0">D4*$D$23</f>
        <v>3.6920327928891487E-2</v>
      </c>
      <c r="F4" s="62">
        <f>E4*$D$28</f>
        <v>4.3988932076323324E-2</v>
      </c>
      <c r="G4" s="58">
        <f>F4*$D$35</f>
        <v>5.8312340206044408E-2</v>
      </c>
      <c r="H4" s="56">
        <f t="shared" ref="H4:H11" si="1">G4*$H$23</f>
        <v>6.189491726784483E-2</v>
      </c>
      <c r="I4" s="57">
        <f t="shared" ref="I4:I5" si="2">H4*$H$28</f>
        <v>7.2246572852854768E-2</v>
      </c>
      <c r="J4" s="58">
        <f>I4*$H$35</f>
        <v>7.1844602027583498E-2</v>
      </c>
      <c r="K4" s="56">
        <f t="shared" ref="K4:K11" si="3">J4*$L$23</f>
        <v>7.2461436525768114E-2</v>
      </c>
      <c r="L4" s="57">
        <f t="shared" ref="L4:L5" si="4">K4*$L$28</f>
        <v>7.2918489719222837E-2</v>
      </c>
      <c r="M4" s="58">
        <f>L4*$L$35</f>
        <v>7.2901278020212831E-2</v>
      </c>
      <c r="N4" s="56">
        <f t="shared" ref="N4:N11" si="5">M4*$P$23</f>
        <v>7.2931004259826127E-2</v>
      </c>
      <c r="O4" s="57">
        <f t="shared" ref="O4:O5" si="6">N4*$P$28</f>
        <v>7.2957000563796157E-2</v>
      </c>
      <c r="P4" s="58">
        <f>O4*$P$35</f>
        <v>7.2956006480103003E-2</v>
      </c>
    </row>
    <row r="5" spans="1:16" x14ac:dyDescent="0.25">
      <c r="A5" t="s">
        <v>5</v>
      </c>
      <c r="B5" t="s">
        <v>10</v>
      </c>
      <c r="C5" t="s">
        <v>16</v>
      </c>
      <c r="D5" s="52">
        <f>'National Fitting'!P17</f>
        <v>1.6791724498794187E-2</v>
      </c>
      <c r="E5" s="56">
        <f t="shared" si="0"/>
        <v>1.6893093292317536E-2</v>
      </c>
      <c r="F5" s="62">
        <f>E5*$D$28</f>
        <v>2.0127370884299202E-2</v>
      </c>
      <c r="G5" s="58">
        <f>F5*$D$36</f>
        <v>4.1710476911752441E-2</v>
      </c>
      <c r="H5" s="56">
        <f t="shared" si="1"/>
        <v>4.4273073392922496E-2</v>
      </c>
      <c r="I5" s="57">
        <f t="shared" si="2"/>
        <v>5.1677552269114371E-2</v>
      </c>
      <c r="J5" s="58">
        <f>I5*$H$36</f>
        <v>5.3111621467909015E-2</v>
      </c>
      <c r="K5" s="56">
        <f t="shared" si="3"/>
        <v>5.356762065854203E-2</v>
      </c>
      <c r="L5" s="57">
        <f t="shared" si="4"/>
        <v>5.3905500408953144E-2</v>
      </c>
      <c r="M5" s="58">
        <f>L5*$L$36</f>
        <v>5.3988289981970437E-2</v>
      </c>
      <c r="N5" s="56">
        <f t="shared" si="5"/>
        <v>5.4010304257822654E-2</v>
      </c>
      <c r="O5" s="57">
        <f t="shared" si="6"/>
        <v>5.4029556265953495E-2</v>
      </c>
      <c r="P5" s="58">
        <f>O5*$P$36</f>
        <v>5.4033988858301955E-2</v>
      </c>
    </row>
    <row r="6" spans="1:16" x14ac:dyDescent="0.25">
      <c r="A6" t="s">
        <v>5</v>
      </c>
      <c r="B6" t="s">
        <v>11</v>
      </c>
      <c r="C6" t="s">
        <v>14</v>
      </c>
      <c r="D6" s="52">
        <f>'National Fitting'!P18</f>
        <v>0.13436674183659997</v>
      </c>
      <c r="E6" s="56">
        <f t="shared" si="0"/>
        <v>0.1351778910732741</v>
      </c>
      <c r="F6" s="62">
        <f>E6*$D$29</f>
        <v>0.11489164137386579</v>
      </c>
      <c r="G6" s="58">
        <f t="shared" ref="G6" si="7">F6*$D$34</f>
        <v>4.4824798623843976E-2</v>
      </c>
      <c r="H6" s="56">
        <f t="shared" si="1"/>
        <v>4.7578731921361687E-2</v>
      </c>
      <c r="I6" s="57">
        <f>H6*$H$29</f>
        <v>4.736281624290628E-2</v>
      </c>
      <c r="J6" s="58">
        <f t="shared" ref="J6" si="8">I6*$H$34</f>
        <v>4.5334517074860158E-2</v>
      </c>
      <c r="K6" s="56">
        <f t="shared" si="3"/>
        <v>4.5723744564485296E-2</v>
      </c>
      <c r="L6" s="57">
        <f>K6*$L$29</f>
        <v>4.5680331183102406E-2</v>
      </c>
      <c r="M6" s="58">
        <f t="shared" ref="M6" si="9">L6*$L$34</f>
        <v>4.5557131608087095E-2</v>
      </c>
      <c r="N6" s="56">
        <f t="shared" si="5"/>
        <v>4.5575707993125242E-2</v>
      </c>
      <c r="O6" s="57">
        <f>N6*$P$29</f>
        <v>4.5573393915910018E-2</v>
      </c>
      <c r="P6" s="58">
        <f t="shared" ref="P6" si="10">O6*$P$34</f>
        <v>4.5566892670621348E-2</v>
      </c>
    </row>
    <row r="7" spans="1:16" x14ac:dyDescent="0.25">
      <c r="A7" t="s">
        <v>5</v>
      </c>
      <c r="B7" t="s">
        <v>11</v>
      </c>
      <c r="C7" t="s">
        <v>15</v>
      </c>
      <c r="D7" s="52">
        <f>'National Fitting'!P19</f>
        <v>7.3523039023844466E-2</v>
      </c>
      <c r="E7" s="56">
        <f t="shared" si="0"/>
        <v>7.3966885143553762E-2</v>
      </c>
      <c r="F7" s="62">
        <f>E7*$D$29</f>
        <v>6.2866618009661104E-2</v>
      </c>
      <c r="G7" s="58">
        <f t="shared" ref="G7" si="11">F7*$D$35</f>
        <v>8.3336863250561541E-2</v>
      </c>
      <c r="H7" s="56">
        <f t="shared" si="1"/>
        <v>8.845688988006925E-2</v>
      </c>
      <c r="I7" s="57">
        <f t="shared" ref="I7:I8" si="12">H7*$H$29</f>
        <v>8.8055466205640989E-2</v>
      </c>
      <c r="J7" s="58">
        <f t="shared" ref="J7" si="13">I7*$H$35</f>
        <v>8.7565536690334872E-2</v>
      </c>
      <c r="K7" s="56">
        <f t="shared" si="3"/>
        <v>8.8317346044945982E-2</v>
      </c>
      <c r="L7" s="57">
        <f t="shared" ref="L7:M8" si="14">K7*$L$29</f>
        <v>8.82334912630795E-2</v>
      </c>
      <c r="M7" s="58">
        <f t="shared" ref="M7" si="15">L7*$L$35</f>
        <v>8.8212664607178234E-2</v>
      </c>
      <c r="N7" s="56">
        <f t="shared" si="5"/>
        <v>8.8248634220829084E-2</v>
      </c>
      <c r="O7" s="57">
        <f t="shared" ref="O7:O8" si="16">N7*$P$29</f>
        <v>8.8244153453272911E-2</v>
      </c>
      <c r="P7" s="58">
        <f t="shared" ref="P7" si="17">O7*$P$35</f>
        <v>8.8242951072784598E-2</v>
      </c>
    </row>
    <row r="8" spans="1:16" x14ac:dyDescent="0.25">
      <c r="A8" t="s">
        <v>5</v>
      </c>
      <c r="B8" t="s">
        <v>11</v>
      </c>
      <c r="C8" t="s">
        <v>16</v>
      </c>
      <c r="D8" s="52">
        <f>'National Fitting'!P20</f>
        <v>4.2109648710658025E-2</v>
      </c>
      <c r="E8" s="56">
        <f t="shared" si="0"/>
        <v>4.2363857519634021E-2</v>
      </c>
      <c r="F8" s="62">
        <f>E8*$D$29</f>
        <v>3.6006280958481678E-2</v>
      </c>
      <c r="G8" s="58">
        <f t="shared" ref="G8" si="18">F8*$D$36</f>
        <v>7.4616757411091597E-2</v>
      </c>
      <c r="H8" s="56">
        <f t="shared" si="1"/>
        <v>7.920104064483488E-2</v>
      </c>
      <c r="I8" s="57">
        <f t="shared" si="12"/>
        <v>7.8841620674301241E-2</v>
      </c>
      <c r="J8" s="58">
        <f t="shared" ref="J8" si="19">I8*$H$36</f>
        <v>8.1029501772137996E-2</v>
      </c>
      <c r="K8" s="56">
        <f t="shared" si="3"/>
        <v>8.1725194846540117E-2</v>
      </c>
      <c r="L8" s="57">
        <f t="shared" si="14"/>
        <v>8.164759912278087E-2</v>
      </c>
      <c r="M8" s="58">
        <f t="shared" ref="M8" si="20">L8*$L$36</f>
        <v>8.177299578579264E-2</v>
      </c>
      <c r="N8" s="56">
        <f t="shared" si="5"/>
        <v>8.1806339558805119E-2</v>
      </c>
      <c r="O8" s="57">
        <f t="shared" si="16"/>
        <v>8.1802185894610524E-2</v>
      </c>
      <c r="P8" s="58">
        <f t="shared" ref="P8" si="21">O8*$P$36</f>
        <v>8.1808896957375851E-2</v>
      </c>
    </row>
    <row r="9" spans="1:16" x14ac:dyDescent="0.25">
      <c r="A9" t="s">
        <v>5</v>
      </c>
      <c r="B9" t="s">
        <v>12</v>
      </c>
      <c r="C9" t="s">
        <v>14</v>
      </c>
      <c r="D9" s="52">
        <f>'National Fitting'!P21</f>
        <v>6.9093474457140869E-2</v>
      </c>
      <c r="E9" s="56">
        <f t="shared" si="0"/>
        <v>6.9510580046656681E-2</v>
      </c>
      <c r="F9" s="62">
        <f>E9*$D$30</f>
        <v>7.0918130104407104E-2</v>
      </c>
      <c r="G9" s="58">
        <f t="shared" ref="G9" si="22">F9*$D$34</f>
        <v>2.7668600280200302E-2</v>
      </c>
      <c r="H9" s="56">
        <f t="shared" si="1"/>
        <v>2.9368495917139522E-2</v>
      </c>
      <c r="I9" s="57">
        <f>H9*$H$30</f>
        <v>2.5028451461540251E-2</v>
      </c>
      <c r="J9" s="58">
        <f t="shared" ref="J9" si="23">I9*$H$34</f>
        <v>2.3956615128654785E-2</v>
      </c>
      <c r="K9" s="56">
        <f t="shared" si="3"/>
        <v>2.4162298871817735E-2</v>
      </c>
      <c r="L9" s="57">
        <f>K9*$L$30</f>
        <v>2.4002751748139539E-2</v>
      </c>
      <c r="M9" s="58">
        <f t="shared" ref="M9" si="24">L9*$L$34</f>
        <v>2.3938016472847518E-2</v>
      </c>
      <c r="N9" s="56">
        <f t="shared" si="5"/>
        <v>2.3947777443201718E-2</v>
      </c>
      <c r="O9" s="57">
        <f>N9*$P$30</f>
        <v>2.3938634479576726E-2</v>
      </c>
      <c r="P9" s="58">
        <f t="shared" ref="P9" si="25">O9*$P$34</f>
        <v>2.3935219527973284E-2</v>
      </c>
    </row>
    <row r="10" spans="1:16" x14ac:dyDescent="0.25">
      <c r="A10" t="s">
        <v>5</v>
      </c>
      <c r="B10" t="s">
        <v>12</v>
      </c>
      <c r="C10" t="s">
        <v>15</v>
      </c>
      <c r="D10" s="52">
        <f>'National Fitting'!P22</f>
        <v>4.9780244158952915E-2</v>
      </c>
      <c r="E10" s="56">
        <f t="shared" si="0"/>
        <v>5.0080759051991636E-2</v>
      </c>
      <c r="F10" s="62">
        <f>E10*$D$30</f>
        <v>5.1094866188610283E-2</v>
      </c>
      <c r="G10" s="58">
        <f t="shared" ref="G10" si="26">F10*$D$35</f>
        <v>6.7732065302313363E-2</v>
      </c>
      <c r="H10" s="56">
        <f t="shared" si="1"/>
        <v>7.1893368769864532E-2</v>
      </c>
      <c r="I10" s="57">
        <f t="shared" ref="I10:I11" si="27">H10*$H$30</f>
        <v>6.1269044752579445E-2</v>
      </c>
      <c r="J10" s="58">
        <f t="shared" ref="J10" si="28">I10*$H$35</f>
        <v>6.0928151510031635E-2</v>
      </c>
      <c r="K10" s="56">
        <f t="shared" si="3"/>
        <v>6.1451260897534089E-2</v>
      </c>
      <c r="L10" s="57">
        <f t="shared" ref="L10:M11" si="29">K10*$L$30</f>
        <v>6.1045489411360003E-2</v>
      </c>
      <c r="M10" s="58">
        <f t="shared" ref="M10" si="30">L10*$L$35</f>
        <v>6.1031080218386963E-2</v>
      </c>
      <c r="N10" s="56">
        <f t="shared" si="5"/>
        <v>6.1055966263785601E-2</v>
      </c>
      <c r="O10" s="57">
        <f t="shared" ref="O10:O11" si="31">N10*$P$30</f>
        <v>6.1032655855128161E-2</v>
      </c>
      <c r="P10" s="58">
        <f t="shared" ref="P10" si="32">O10*$P$35</f>
        <v>6.1031824247914777E-2</v>
      </c>
    </row>
    <row r="11" spans="1:16" x14ac:dyDescent="0.25">
      <c r="A11" t="s">
        <v>5</v>
      </c>
      <c r="B11" t="s">
        <v>12</v>
      </c>
      <c r="C11" t="s">
        <v>16</v>
      </c>
      <c r="D11" s="52">
        <f>'National Fitting'!P23</f>
        <v>4.1101206929415081E-2</v>
      </c>
      <c r="E11" s="56">
        <f t="shared" si="0"/>
        <v>4.1349327946353369E-2</v>
      </c>
      <c r="F11" s="62">
        <f>E11*$D$30</f>
        <v>4.2186628525628718E-2</v>
      </c>
      <c r="G11" s="58">
        <f t="shared" ref="G11" si="33">F11*$D$36</f>
        <v>8.742445325909641E-2</v>
      </c>
      <c r="H11" s="56">
        <f t="shared" si="1"/>
        <v>9.2795612087224116E-2</v>
      </c>
      <c r="I11" s="57">
        <f t="shared" si="27"/>
        <v>7.90823772358588E-2</v>
      </c>
      <c r="J11" s="58">
        <f t="shared" ref="J11" si="34">I11*$H$36</f>
        <v>8.1276939408053334E-2</v>
      </c>
      <c r="K11" s="56">
        <f t="shared" si="3"/>
        <v>8.197475690190624E-2</v>
      </c>
      <c r="L11" s="57">
        <f t="shared" si="29"/>
        <v>8.1433465829094734E-2</v>
      </c>
      <c r="M11" s="58">
        <f t="shared" ref="M11" si="35">L11*$L$36</f>
        <v>8.1558533620213675E-2</v>
      </c>
      <c r="N11" s="56">
        <f t="shared" si="5"/>
        <v>8.1591789944090887E-2</v>
      </c>
      <c r="O11" s="57">
        <f t="shared" si="31"/>
        <v>8.1560639213325736E-2</v>
      </c>
      <c r="P11" s="58">
        <f t="shared" ref="P11" si="36">O11*$P$36</f>
        <v>8.1567330459567572E-2</v>
      </c>
    </row>
    <row r="12" spans="1:16" x14ac:dyDescent="0.25">
      <c r="A12" t="s">
        <v>6</v>
      </c>
      <c r="B12" t="s">
        <v>10</v>
      </c>
      <c r="C12" t="s">
        <v>14</v>
      </c>
      <c r="D12" s="52">
        <f>'National Fitting'!P24</f>
        <v>8.3465204504092075E-2</v>
      </c>
      <c r="E12" s="56">
        <f>D12*$D$24</f>
        <v>8.2823922299955346E-2</v>
      </c>
      <c r="F12" s="62">
        <f>E12*$D$28</f>
        <v>9.8681027410278621E-2</v>
      </c>
      <c r="G12" s="58">
        <f t="shared" ref="G12" si="37">F12*$D$34</f>
        <v>3.8500252313968072E-2</v>
      </c>
      <c r="H12" s="56">
        <f>G12*$H$24</f>
        <v>3.582465432886895E-2</v>
      </c>
      <c r="I12" s="57">
        <f>H12*$H$28</f>
        <v>4.1816171878843039E-2</v>
      </c>
      <c r="J12" s="58">
        <f t="shared" ref="J12" si="38">I12*$H$34</f>
        <v>4.0025406182019975E-2</v>
      </c>
      <c r="K12" s="56">
        <f>J12*$L$24</f>
        <v>3.9590544157092226E-2</v>
      </c>
      <c r="L12" s="57">
        <f>K12*$L$28</f>
        <v>3.984026298003019E-2</v>
      </c>
      <c r="M12" s="58">
        <f t="shared" ref="M12" si="39">L12*$L$34</f>
        <v>3.9732814033393529E-2</v>
      </c>
      <c r="N12" s="56">
        <f>M12*$P$24</f>
        <v>3.9711928428643392E-2</v>
      </c>
      <c r="O12" s="57">
        <f>N12*$P$28</f>
        <v>3.9726083771397067E-2</v>
      </c>
      <c r="P12" s="58">
        <f t="shared" ref="P12" si="40">O12*$P$34</f>
        <v>3.9720416670644541E-2</v>
      </c>
    </row>
    <row r="13" spans="1:16" x14ac:dyDescent="0.25">
      <c r="A13" t="s">
        <v>6</v>
      </c>
      <c r="B13" t="s">
        <v>10</v>
      </c>
      <c r="C13" t="s">
        <v>15</v>
      </c>
      <c r="D13" s="52">
        <f>'National Fitting'!P25</f>
        <v>4.3301216404871251E-2</v>
      </c>
      <c r="E13" s="56">
        <f t="shared" ref="E13:E20" si="41">D13*$D$24</f>
        <v>4.2968523282474892E-2</v>
      </c>
      <c r="F13" s="62">
        <f t="shared" ref="F13:F14" si="42">E13*$D$28</f>
        <v>5.1195088400436524E-2</v>
      </c>
      <c r="G13" s="58">
        <f t="shared" ref="G13" si="43">F13*$D$35</f>
        <v>6.7864921260309213E-2</v>
      </c>
      <c r="H13" s="56">
        <f t="shared" ref="H13:H20" si="44">G13*$H$24</f>
        <v>6.3148608102093468E-2</v>
      </c>
      <c r="I13" s="57">
        <f t="shared" ref="I13:I14" si="45">H13*$H$28</f>
        <v>7.3709938023851687E-2</v>
      </c>
      <c r="J13" s="58">
        <f t="shared" ref="J13" si="46">I13*$H$35</f>
        <v>7.3299825219214049E-2</v>
      </c>
      <c r="K13" s="56">
        <f t="shared" ref="K13:K20" si="47">J13*$L$24</f>
        <v>7.250344828110826E-2</v>
      </c>
      <c r="L13" s="57">
        <f t="shared" ref="L13:L14" si="48">K13*$L$28</f>
        <v>7.2960766465265087E-2</v>
      </c>
      <c r="M13" s="58">
        <f t="shared" ref="M13" si="49">L13*$L$35</f>
        <v>7.2943544787241105E-2</v>
      </c>
      <c r="N13" s="56">
        <f t="shared" ref="N13:N20" si="50">M13*$P$24</f>
        <v>7.2905201919197068E-2</v>
      </c>
      <c r="O13" s="57">
        <f t="shared" ref="O13:O14" si="51">N13*$P$28</f>
        <v>7.2931189025905979E-2</v>
      </c>
      <c r="P13" s="58">
        <f t="shared" ref="P13" si="52">O13*$P$35</f>
        <v>7.2930195293910788E-2</v>
      </c>
    </row>
    <row r="14" spans="1:16" x14ac:dyDescent="0.25">
      <c r="A14" t="s">
        <v>6</v>
      </c>
      <c r="B14" t="s">
        <v>10</v>
      </c>
      <c r="C14" t="s">
        <v>16</v>
      </c>
      <c r="D14" s="52">
        <f>'National Fitting'!P26</f>
        <v>2.320827550120581E-2</v>
      </c>
      <c r="E14" s="56">
        <f t="shared" si="41"/>
        <v>2.3029961026856251E-2</v>
      </c>
      <c r="F14" s="62">
        <f t="shared" si="42"/>
        <v>2.7439176414735859E-2</v>
      </c>
      <c r="G14" s="58">
        <f t="shared" ref="G14" si="53">F14*$D$36</f>
        <v>5.6862922678944397E-2</v>
      </c>
      <c r="H14" s="56">
        <f t="shared" si="44"/>
        <v>5.2911199970586124E-2</v>
      </c>
      <c r="I14" s="57">
        <f t="shared" si="45"/>
        <v>6.1760367929158413E-2</v>
      </c>
      <c r="J14" s="58">
        <f t="shared" ref="J14" si="54">I14*$H$36</f>
        <v>6.3474238603454358E-2</v>
      </c>
      <c r="K14" s="56">
        <f t="shared" si="47"/>
        <v>6.2784613223906188E-2</v>
      </c>
      <c r="L14" s="57">
        <f t="shared" si="48"/>
        <v>6.3180629496142268E-2</v>
      </c>
      <c r="M14" s="58">
        <f t="shared" ref="M14" si="55">L14*$L$36</f>
        <v>6.3277664071450301E-2</v>
      </c>
      <c r="N14" s="56">
        <f t="shared" si="50"/>
        <v>6.3244402086024401E-2</v>
      </c>
      <c r="O14" s="57">
        <f t="shared" si="51"/>
        <v>6.3266945594340485E-2</v>
      </c>
      <c r="P14" s="58">
        <f t="shared" ref="P14" si="56">O14*$P$36</f>
        <v>6.3272136023400677E-2</v>
      </c>
    </row>
    <row r="15" spans="1:16" x14ac:dyDescent="0.25">
      <c r="A15" t="s">
        <v>6</v>
      </c>
      <c r="B15" t="s">
        <v>11</v>
      </c>
      <c r="C15" t="s">
        <v>14</v>
      </c>
      <c r="D15" s="52">
        <f>'National Fitting'!P27</f>
        <v>7.5633258163399997E-2</v>
      </c>
      <c r="E15" s="56">
        <f t="shared" si="41"/>
        <v>7.5052150589420594E-2</v>
      </c>
      <c r="F15" s="62">
        <f>E15*$D$29</f>
        <v>6.3789016838434021E-2</v>
      </c>
      <c r="G15" s="58">
        <f t="shared" ref="G15" si="57">F15*$D$34</f>
        <v>2.4887187614382925E-2</v>
      </c>
      <c r="H15" s="56">
        <f t="shared" si="44"/>
        <v>2.3157637675520103E-2</v>
      </c>
      <c r="I15" s="57">
        <f>H15*$H$29</f>
        <v>2.3052546664301087E-2</v>
      </c>
      <c r="J15" s="58">
        <f t="shared" ref="J15" si="58">I15*$H$34</f>
        <v>2.2065327893762938E-2</v>
      </c>
      <c r="K15" s="56">
        <f t="shared" si="47"/>
        <v>2.1825595831458801E-2</v>
      </c>
      <c r="L15" s="57">
        <f>K15*$L$29</f>
        <v>2.1804873055475228E-2</v>
      </c>
      <c r="M15" s="58">
        <f t="shared" ref="M15" si="59">L15*$L$34</f>
        <v>2.1746065445632609E-2</v>
      </c>
      <c r="N15" s="56">
        <f t="shared" si="50"/>
        <v>2.1734634598389157E-2</v>
      </c>
      <c r="O15" s="57">
        <f>N15*$P$29</f>
        <v>2.1733531036318043E-2</v>
      </c>
      <c r="P15" s="58">
        <f t="shared" ref="P15" si="60">O15*$P$34</f>
        <v>2.1730430652429217E-2</v>
      </c>
    </row>
    <row r="16" spans="1:16" x14ac:dyDescent="0.25">
      <c r="A16" t="s">
        <v>6</v>
      </c>
      <c r="B16" t="s">
        <v>11</v>
      </c>
      <c r="C16" t="s">
        <v>15</v>
      </c>
      <c r="D16" s="52">
        <f>'National Fitting'!P28</f>
        <v>5.6476960976155538E-2</v>
      </c>
      <c r="E16" s="56">
        <f t="shared" si="41"/>
        <v>5.6043035602906646E-2</v>
      </c>
      <c r="F16" s="62">
        <f t="shared" ref="F16:F17" si="61">E16*$D$29</f>
        <v>4.7632614304521925E-2</v>
      </c>
      <c r="G16" s="58">
        <f t="shared" ref="G16" si="62">F16*$D$35</f>
        <v>6.3142456048019935E-2</v>
      </c>
      <c r="H16" s="56">
        <f t="shared" si="44"/>
        <v>5.8754333424859924E-2</v>
      </c>
      <c r="I16" s="57">
        <f t="shared" ref="I16:I17" si="63">H16*$H$29</f>
        <v>5.8487702069812651E-2</v>
      </c>
      <c r="J16" s="58">
        <f t="shared" ref="J16" si="64">I16*$H$35</f>
        <v>5.8162283867386554E-2</v>
      </c>
      <c r="K16" s="56">
        <f t="shared" si="47"/>
        <v>5.7530371016284595E-2</v>
      </c>
      <c r="L16" s="57">
        <f t="shared" ref="L16:M17" si="65">K16*$L$29</f>
        <v>5.7475747582403175E-2</v>
      </c>
      <c r="M16" s="58">
        <f t="shared" ref="M16" si="66">L16*$L$35</f>
        <v>5.7462180992206742E-2</v>
      </c>
      <c r="N16" s="56">
        <f t="shared" si="50"/>
        <v>5.7431975922933885E-2</v>
      </c>
      <c r="O16" s="57">
        <f t="shared" ref="O16:O17" si="67">N16*$P$29</f>
        <v>5.7429059851351875E-2</v>
      </c>
      <c r="P16" s="58">
        <f t="shared" ref="P16" si="68">O16*$P$35</f>
        <v>5.7428277345335038E-2</v>
      </c>
    </row>
    <row r="17" spans="1:18" x14ac:dyDescent="0.25">
      <c r="A17" t="s">
        <v>6</v>
      </c>
      <c r="B17" t="s">
        <v>11</v>
      </c>
      <c r="C17" t="s">
        <v>16</v>
      </c>
      <c r="D17" s="52">
        <f>'National Fitting'!P29</f>
        <v>3.7890351289341984E-2</v>
      </c>
      <c r="E17" s="56">
        <f t="shared" si="41"/>
        <v>3.7599231077815362E-2</v>
      </c>
      <c r="F17" s="62">
        <f t="shared" si="61"/>
        <v>3.1956685657892642E-2</v>
      </c>
      <c r="G17" s="58">
        <f t="shared" ref="G17" si="69">F17*$D$36</f>
        <v>6.6224675193392576E-2</v>
      </c>
      <c r="H17" s="56">
        <f t="shared" si="44"/>
        <v>6.1622351913370871E-2</v>
      </c>
      <c r="I17" s="57">
        <f t="shared" si="63"/>
        <v>6.1342705285894875E-2</v>
      </c>
      <c r="J17" s="58">
        <f t="shared" ref="J17" si="70">I17*$H$36</f>
        <v>6.3044985683447977E-2</v>
      </c>
      <c r="K17" s="56">
        <f t="shared" si="47"/>
        <v>6.2360023986590525E-2</v>
      </c>
      <c r="L17" s="57">
        <f t="shared" si="65"/>
        <v>6.2300814936015983E-2</v>
      </c>
      <c r="M17" s="58">
        <f t="shared" ref="M17" si="71">L17*$L$36</f>
        <v>6.2396498267550844E-2</v>
      </c>
      <c r="N17" s="56">
        <f t="shared" si="50"/>
        <v>6.2363699468062E-2</v>
      </c>
      <c r="O17" s="57">
        <f t="shared" si="67"/>
        <v>6.2360532991393818E-2</v>
      </c>
      <c r="P17" s="58">
        <f t="shared" ref="P17" si="72">O17*$P$36</f>
        <v>6.2365649058237355E-2</v>
      </c>
    </row>
    <row r="18" spans="1:18" x14ac:dyDescent="0.25">
      <c r="A18" t="s">
        <v>6</v>
      </c>
      <c r="B18" t="s">
        <v>12</v>
      </c>
      <c r="C18" t="s">
        <v>14</v>
      </c>
      <c r="D18" s="52">
        <f>'National Fitting'!P30</f>
        <v>4.0906525542859139E-2</v>
      </c>
      <c r="E18" s="56">
        <f t="shared" si="41"/>
        <v>4.0592231376570788E-2</v>
      </c>
      <c r="F18" s="62">
        <f>E18*$D$30</f>
        <v>4.1414201177138711E-2</v>
      </c>
      <c r="G18" s="58">
        <f t="shared" ref="G18" si="73">F18*$D$34</f>
        <v>1.6157687415151448E-2</v>
      </c>
      <c r="H18" s="56">
        <f t="shared" si="44"/>
        <v>1.5034799296411612E-2</v>
      </c>
      <c r="I18" s="57">
        <f>H18*$H$30</f>
        <v>1.2812972972328123E-2</v>
      </c>
      <c r="J18" s="58">
        <f t="shared" ref="J18" si="74">I18*$H$34</f>
        <v>1.2264261040024838E-2</v>
      </c>
      <c r="K18" s="56">
        <f t="shared" si="47"/>
        <v>1.213101413764853E-2</v>
      </c>
      <c r="L18" s="57">
        <f>K18*$L$30</f>
        <v>1.205091131203458E-2</v>
      </c>
      <c r="M18" s="58">
        <f t="shared" ref="M18" si="75">L18*$L$34</f>
        <v>1.201841007761404E-2</v>
      </c>
      <c r="N18" s="56">
        <f t="shared" si="50"/>
        <v>1.2012092584914048E-2</v>
      </c>
      <c r="O18" s="57">
        <f>N18*$P$30</f>
        <v>1.2007506517341624E-2</v>
      </c>
      <c r="P18" s="58">
        <f t="shared" ref="P18" si="76">O18*$P$34</f>
        <v>1.2005793593671323E-2</v>
      </c>
    </row>
    <row r="19" spans="1:18" x14ac:dyDescent="0.25">
      <c r="A19" t="s">
        <v>6</v>
      </c>
      <c r="B19" t="s">
        <v>12</v>
      </c>
      <c r="C19" t="s">
        <v>15</v>
      </c>
      <c r="D19" s="52">
        <f>'National Fitting'!P31</f>
        <v>4.0219755841047082E-2</v>
      </c>
      <c r="E19" s="56">
        <f t="shared" si="41"/>
        <v>3.9910738283025965E-2</v>
      </c>
      <c r="F19" s="62">
        <f t="shared" ref="F19:F20" si="77">E19*$D$30</f>
        <v>4.0718908232657072E-2</v>
      </c>
      <c r="G19" s="58">
        <f t="shared" ref="G19" si="78">F19*$D$35</f>
        <v>5.3977551115850134E-2</v>
      </c>
      <c r="H19" s="56">
        <f t="shared" si="44"/>
        <v>5.0226349024279519E-2</v>
      </c>
      <c r="I19" s="57">
        <f t="shared" ref="I19:I20" si="79">H19*$H$30</f>
        <v>4.2803953671693491E-2</v>
      </c>
      <c r="J19" s="58">
        <f t="shared" ref="J19" si="80">I19*$H$35</f>
        <v>4.2565797868547965E-2</v>
      </c>
      <c r="K19" s="56">
        <f t="shared" si="47"/>
        <v>4.2103335377359129E-2</v>
      </c>
      <c r="L19" s="57">
        <f t="shared" ref="L19:M20" si="81">K19*$L$30</f>
        <v>4.1825321017369931E-2</v>
      </c>
      <c r="M19" s="58">
        <f t="shared" ref="M19" si="82">L19*$L$35</f>
        <v>4.181544855787276E-2</v>
      </c>
      <c r="N19" s="56">
        <f t="shared" si="50"/>
        <v>4.1793468213608811E-2</v>
      </c>
      <c r="O19" s="57">
        <f t="shared" ref="O19:O20" si="83">N19*$P$30</f>
        <v>4.1777511987167941E-2</v>
      </c>
      <c r="P19" s="58">
        <f t="shared" ref="P19" si="84">O19*$P$35</f>
        <v>4.1776942743050362E-2</v>
      </c>
    </row>
    <row r="20" spans="1:18" x14ac:dyDescent="0.25">
      <c r="A20" t="s">
        <v>6</v>
      </c>
      <c r="B20" t="s">
        <v>12</v>
      </c>
      <c r="C20" t="s">
        <v>16</v>
      </c>
      <c r="D20" s="52">
        <f>'National Fitting'!P32</f>
        <v>3.8898793070584914E-2</v>
      </c>
      <c r="E20" s="59">
        <f t="shared" si="41"/>
        <v>3.8599924770833245E-2</v>
      </c>
      <c r="F20" s="63">
        <f t="shared" si="77"/>
        <v>3.9381551485843831E-2</v>
      </c>
      <c r="G20" s="61">
        <f t="shared" ref="G20" si="85">F20*$D$36</f>
        <v>8.1611418771074751E-2</v>
      </c>
      <c r="H20" s="59">
        <f t="shared" si="44"/>
        <v>7.593978457386856E-2</v>
      </c>
      <c r="I20" s="60">
        <f t="shared" si="79"/>
        <v>6.4717485620285564E-2</v>
      </c>
      <c r="J20" s="61">
        <f t="shared" ref="J20" si="86">I20*$H$36</f>
        <v>6.65134172903495E-2</v>
      </c>
      <c r="K20" s="59">
        <f t="shared" si="47"/>
        <v>6.5790772298410891E-2</v>
      </c>
      <c r="L20" s="60">
        <f t="shared" si="81"/>
        <v>6.5356346396286916E-2</v>
      </c>
      <c r="M20" s="61">
        <f t="shared" ref="M20" si="87">L20*$L$36</f>
        <v>6.5456722498374267E-2</v>
      </c>
      <c r="N20" s="59">
        <f t="shared" si="50"/>
        <v>6.5422315088086352E-2</v>
      </c>
      <c r="O20" s="60">
        <f t="shared" si="83"/>
        <v>6.5397337661745561E-2</v>
      </c>
      <c r="P20" s="61">
        <f t="shared" ref="P20" si="88">O20*$P$36</f>
        <v>6.5402702868468748E-2</v>
      </c>
    </row>
    <row r="22" spans="1:18" x14ac:dyDescent="0.25">
      <c r="A22" t="s">
        <v>8</v>
      </c>
      <c r="B22" s="51" t="s">
        <v>48</v>
      </c>
      <c r="C22" s="51" t="s">
        <v>36</v>
      </c>
      <c r="D22" t="s">
        <v>38</v>
      </c>
      <c r="E22" t="s">
        <v>43</v>
      </c>
      <c r="F22" s="51" t="s">
        <v>44</v>
      </c>
      <c r="G22" s="51" t="s">
        <v>36</v>
      </c>
      <c r="H22" t="s">
        <v>38</v>
      </c>
      <c r="I22" t="s">
        <v>46</v>
      </c>
      <c r="J22" t="s">
        <v>44</v>
      </c>
      <c r="K22" s="51" t="s">
        <v>36</v>
      </c>
      <c r="L22" t="s">
        <v>38</v>
      </c>
      <c r="M22" t="s">
        <v>47</v>
      </c>
      <c r="N22" t="s">
        <v>44</v>
      </c>
      <c r="O22" s="51" t="s">
        <v>36</v>
      </c>
      <c r="P22" t="s">
        <v>38</v>
      </c>
      <c r="Q22" t="s">
        <v>53</v>
      </c>
      <c r="R22" t="s">
        <v>44</v>
      </c>
    </row>
    <row r="23" spans="1:18" x14ac:dyDescent="0.25">
      <c r="A23" t="s">
        <v>5</v>
      </c>
      <c r="B23" s="51">
        <f>Marginals!$J$11</f>
        <v>0.56338028169014087</v>
      </c>
      <c r="C23" s="51">
        <f>SUMIF($A$3:$A$20,$A23,$D$3:$D$20)</f>
        <v>0.55999965870644219</v>
      </c>
      <c r="D23">
        <f>$B23/C23</f>
        <v>1.0060368304357679</v>
      </c>
      <c r="E23">
        <f>SUMIF($A$3:$A$20,$A23,$G$3:$G$20)</f>
        <v>0.53077092758890654</v>
      </c>
      <c r="F23" s="51">
        <f>ABS($B23-E23)</f>
        <v>3.2609354101234334E-2</v>
      </c>
      <c r="G23" s="51">
        <f>SUMIF($A$3:$A$20,$A23,$G$3:$G$20)</f>
        <v>0.53077092758890654</v>
      </c>
      <c r="H23">
        <f>$B23/G23</f>
        <v>1.0614377171134193</v>
      </c>
      <c r="I23">
        <f>SUMIF($A$3:$A$20,$A23,$J$3:$J$20)</f>
        <v>0.55858445635179188</v>
      </c>
      <c r="J23" s="51">
        <f>ABS($B23-I23)</f>
        <v>4.7958253383489913E-3</v>
      </c>
      <c r="K23" s="51">
        <f>SUMIF($A$3:$A$20,$A23,$J$3:$J$20)</f>
        <v>0.55858445635179188</v>
      </c>
      <c r="L23">
        <f>$B23/K23</f>
        <v>1.0085856763177252</v>
      </c>
      <c r="M23">
        <f>SUMIF($A$3:$A$20,$A23,$M$3:$M$20)</f>
        <v>0.56315065126866393</v>
      </c>
      <c r="N23" s="51">
        <f>ABS($B23-M23)</f>
        <v>2.2963042147694512E-4</v>
      </c>
      <c r="O23" s="51">
        <f>SUMIF($A$3:$A$20,$A23,$M$3:$M$20)</f>
        <v>0.56315065126866393</v>
      </c>
      <c r="P23">
        <f>$B23/O23</f>
        <v>1.0004077601987313</v>
      </c>
      <c r="Q23">
        <f>SUMIF($A$3:$A$20,$A23,$P$3:$P$20)</f>
        <v>0.56336745575085201</v>
      </c>
      <c r="R23" s="51">
        <f>ABS($B23-Q23)</f>
        <v>1.2825939288862998E-5</v>
      </c>
    </row>
    <row r="24" spans="1:18" x14ac:dyDescent="0.25">
      <c r="A24" t="s">
        <v>6</v>
      </c>
      <c r="B24" s="51">
        <f>Marginals!$K$11</f>
        <v>0.43661971830985913</v>
      </c>
      <c r="C24" s="51">
        <f>SUMIF($A$3:$A$20,$A24,$D$3:$D$20)</f>
        <v>0.44000034129355781</v>
      </c>
      <c r="D24">
        <f>$B24/C24</f>
        <v>0.99231677190576717</v>
      </c>
      <c r="E24">
        <f>SUMIF($A$3:$A$20,$A24,$G$3:$G$20)</f>
        <v>0.46922907241109346</v>
      </c>
      <c r="F24" s="51">
        <f>ABS($B24-E24)</f>
        <v>3.2609354101234334E-2</v>
      </c>
      <c r="G24" s="51">
        <f>SUMIF($A$3:$A$20,$A24,$G$3:$G$20)</f>
        <v>0.46922907241109346</v>
      </c>
      <c r="H24">
        <f>$B24/G24</f>
        <v>0.93050440388598699</v>
      </c>
      <c r="I24">
        <f>SUMIF($A$3:$A$20,$A24,$J$3:$J$20)</f>
        <v>0.44141554364820812</v>
      </c>
      <c r="J24" s="51">
        <f>ABS($B24-I24)</f>
        <v>4.7958253383489913E-3</v>
      </c>
      <c r="K24" s="51">
        <f>SUMIF($A$3:$A$20,$A24,$J$3:$J$20)</f>
        <v>0.44141554364820812</v>
      </c>
      <c r="L24">
        <f>$B24/K24</f>
        <v>0.98913535010862441</v>
      </c>
      <c r="M24">
        <f>SUMIF($A$3:$A$20,$A24,$M$3:$M$20)</f>
        <v>0.43684934873133624</v>
      </c>
      <c r="N24" s="51">
        <f>ABS($B24-M24)</f>
        <v>2.2963042147711166E-4</v>
      </c>
      <c r="O24" s="51">
        <f>SUMIF($A$3:$A$20,$A24,$M$3:$M$20)</f>
        <v>0.43684934873133624</v>
      </c>
      <c r="P24">
        <f>$B24/O24</f>
        <v>0.99947434871508001</v>
      </c>
      <c r="Q24">
        <f>SUMIF($A$3:$A$20,$A24,$P$3:$P$20)</f>
        <v>0.4366325442491481</v>
      </c>
      <c r="R24" s="51">
        <f>ABS($B24-Q24)</f>
        <v>1.282593928897402E-5</v>
      </c>
    </row>
    <row r="25" spans="1:18" x14ac:dyDescent="0.25">
      <c r="E25" s="45" t="s">
        <v>52</v>
      </c>
      <c r="F25" s="64">
        <f>MAX(F23:F24)</f>
        <v>3.2609354101234334E-2</v>
      </c>
      <c r="I25" s="45" t="s">
        <v>52</v>
      </c>
      <c r="J25" s="64">
        <f>MAX(J23:J24)</f>
        <v>4.7958253383489913E-3</v>
      </c>
      <c r="M25" s="45" t="s">
        <v>52</v>
      </c>
      <c r="N25" s="64">
        <f>MAX(N23:N24)</f>
        <v>2.2963042147711166E-4</v>
      </c>
      <c r="Q25" s="45" t="s">
        <v>52</v>
      </c>
      <c r="R25" s="64">
        <f>MAX(R23:R24)</f>
        <v>1.282593928897402E-5</v>
      </c>
    </row>
    <row r="27" spans="1:18" x14ac:dyDescent="0.25">
      <c r="A27" t="s">
        <v>13</v>
      </c>
      <c r="B27" s="51" t="s">
        <v>48</v>
      </c>
      <c r="C27" s="51" t="s">
        <v>36</v>
      </c>
      <c r="D27" t="s">
        <v>38</v>
      </c>
      <c r="E27" t="s">
        <v>43</v>
      </c>
      <c r="F27" s="51" t="s">
        <v>44</v>
      </c>
      <c r="G27" s="51" t="s">
        <v>36</v>
      </c>
      <c r="H27" t="s">
        <v>38</v>
      </c>
      <c r="I27" t="s">
        <v>46</v>
      </c>
      <c r="J27" t="s">
        <v>44</v>
      </c>
      <c r="K27" s="51" t="s">
        <v>36</v>
      </c>
      <c r="L27" t="s">
        <v>38</v>
      </c>
      <c r="M27" t="s">
        <v>47</v>
      </c>
      <c r="N27" t="s">
        <v>44</v>
      </c>
      <c r="O27" s="51" t="s">
        <v>36</v>
      </c>
      <c r="P27" t="s">
        <v>38</v>
      </c>
      <c r="Q27" t="s">
        <v>53</v>
      </c>
      <c r="R27" t="s">
        <v>44</v>
      </c>
    </row>
    <row r="28" spans="1:18" x14ac:dyDescent="0.25">
      <c r="A28" t="s">
        <v>10</v>
      </c>
      <c r="B28" s="51">
        <f>Marginals!$J$18</f>
        <v>0.35714285714285715</v>
      </c>
      <c r="C28" s="51">
        <f>SUMIF($B$3:$B$20,$A28,$E$3:$E$20)</f>
        <v>0.29975338751796377</v>
      </c>
      <c r="D28">
        <f>$B28/C28</f>
        <v>1.191455616565648</v>
      </c>
      <c r="E28" s="51">
        <f>SUMIF($B$3:$B$20,$A28,$G$3:$G$20)</f>
        <v>0.30839548571502112</v>
      </c>
      <c r="F28" s="51">
        <f t="shared" ref="F28:F30" si="89">ABS($B28-E28)</f>
        <v>4.8747371427836028E-2</v>
      </c>
      <c r="G28" s="51">
        <f>SUMIF($B$3:$B$20,$A28,$H$3:$H$20)</f>
        <v>0.30597060487119554</v>
      </c>
      <c r="H28">
        <f>$B28/G28</f>
        <v>1.1672456486243297</v>
      </c>
      <c r="I28" s="51">
        <f>SUMIF($B$3:$B$20,$A28,$J$3:$J$20)</f>
        <v>0.35529266477240751</v>
      </c>
      <c r="J28" s="51">
        <f t="shared" ref="J28:J30" si="90">ABS($B28-I28)</f>
        <v>1.8501923704496437E-3</v>
      </c>
      <c r="K28" s="51">
        <f>SUMIF($B$3:$B$20,$A28,$K$3:$K$20)</f>
        <v>0.35490428522501816</v>
      </c>
      <c r="L28">
        <f>$B28/K28</f>
        <v>1.0063075370206356</v>
      </c>
      <c r="M28" s="51">
        <f>SUMIF($B$3:$B$20,$A28,$M$3:$M$20)</f>
        <v>0.35703425184824267</v>
      </c>
      <c r="N28" s="51">
        <f t="shared" ref="N28:N30" si="91">ABS($B28-M28)</f>
        <v>1.0860529461448332E-4</v>
      </c>
      <c r="O28" s="51">
        <f>SUMIF($B$3:$B$20,$A28,$N$3:$N$20)</f>
        <v>0.35701559870016814</v>
      </c>
      <c r="P28">
        <f>$B28/O28</f>
        <v>1.0003564506513227</v>
      </c>
      <c r="Q28" s="51">
        <f>SUMIF($B$3:$B$20,$A28,$P$3:$P$20)</f>
        <v>0.35713708880257056</v>
      </c>
      <c r="R28" s="51">
        <f t="shared" ref="R28:R30" si="92">ABS($B28-Q28)</f>
        <v>5.7683402865937872E-6</v>
      </c>
    </row>
    <row r="29" spans="1:18" x14ac:dyDescent="0.25">
      <c r="A29" t="s">
        <v>11</v>
      </c>
      <c r="B29" s="51">
        <f>Marginals!$K$18</f>
        <v>0.35714285714285715</v>
      </c>
      <c r="C29" s="51">
        <f t="shared" ref="C29:G30" si="93">SUMIF($B$3:$B$20,$A29,$E$3:$E$20)</f>
        <v>0.42020305100660449</v>
      </c>
      <c r="D29">
        <f>$B29/C29</f>
        <v>0.84992923370573958</v>
      </c>
      <c r="E29" s="51">
        <f t="shared" ref="E29:E30" si="94">SUMIF($B$3:$B$20,$A29,$G$3:$G$20)</f>
        <v>0.35703273814129255</v>
      </c>
      <c r="F29" s="51">
        <f t="shared" si="89"/>
        <v>1.1011900156460142E-4</v>
      </c>
      <c r="G29" s="51">
        <f t="shared" ref="G29:G30" si="95">SUMIF($B$3:$B$20,$A29,$H$3:$H$20)</f>
        <v>0.35877098546001673</v>
      </c>
      <c r="H29">
        <f>$B29/G29</f>
        <v>0.99546192868670247</v>
      </c>
      <c r="I29" s="51">
        <f t="shared" ref="I29:I30" si="96">SUMIF($B$3:$B$20,$A29,$J$3:$J$20)</f>
        <v>0.35720215298193048</v>
      </c>
      <c r="J29" s="51">
        <f t="shared" si="90"/>
        <v>5.9295839073325585E-5</v>
      </c>
      <c r="K29" s="51">
        <f t="shared" ref="K29:K30" si="97">SUMIF($B$3:$B$20,$A29,$K$3:$K$20)</f>
        <v>0.35748227629030532</v>
      </c>
      <c r="L29">
        <f>$B29/K29</f>
        <v>0.99905052873957723</v>
      </c>
      <c r="M29" s="51">
        <f t="shared" ref="M29:M30" si="98">SUMIF($B$3:$B$20,$A29,$M$3:$M$20)</f>
        <v>0.35714753670644817</v>
      </c>
      <c r="N29" s="51">
        <f t="shared" si="91"/>
        <v>4.6795635910146238E-6</v>
      </c>
      <c r="O29" s="51">
        <f t="shared" ref="O29:O30" si="99">SUMIF($B$3:$B$20,$A29,$N$3:$N$20)</f>
        <v>0.35716099176214444</v>
      </c>
      <c r="P29">
        <f>$B29/O29</f>
        <v>0.99994922564416167</v>
      </c>
      <c r="Q29" s="51">
        <f t="shared" ref="Q29:Q30" si="100">SUMIF($B$3:$B$20,$A29,$P$3:$P$20)</f>
        <v>0.35714309775678343</v>
      </c>
      <c r="R29" s="51">
        <f t="shared" si="92"/>
        <v>2.4061392628338396E-7</v>
      </c>
    </row>
    <row r="30" spans="1:18" x14ac:dyDescent="0.25">
      <c r="A30" t="s">
        <v>12</v>
      </c>
      <c r="B30" s="51">
        <f>Marginals!$L$18</f>
        <v>0.2857142857142857</v>
      </c>
      <c r="C30" s="51">
        <f t="shared" si="93"/>
        <v>0.28004356147543169</v>
      </c>
      <c r="D30">
        <f>$B30/C30</f>
        <v>1.0202494362269119</v>
      </c>
      <c r="E30" s="51">
        <f t="shared" si="94"/>
        <v>0.33457177614368638</v>
      </c>
      <c r="F30" s="51">
        <f t="shared" si="89"/>
        <v>4.8857490429400685E-2</v>
      </c>
      <c r="G30" s="51">
        <f t="shared" si="95"/>
        <v>0.33525840966878789</v>
      </c>
      <c r="H30">
        <f>$B30/G30</f>
        <v>0.8522210852117077</v>
      </c>
      <c r="I30" s="51">
        <f t="shared" si="96"/>
        <v>0.28750518224566207</v>
      </c>
      <c r="J30" s="51">
        <f t="shared" si="90"/>
        <v>1.7908965313763736E-3</v>
      </c>
      <c r="K30" s="51">
        <f t="shared" si="97"/>
        <v>0.28761343848467663</v>
      </c>
      <c r="L30">
        <f>$B30/K30</f>
        <v>0.99339685662673893</v>
      </c>
      <c r="M30" s="51">
        <f t="shared" si="98"/>
        <v>0.28581821144530922</v>
      </c>
      <c r="N30" s="51">
        <f t="shared" si="91"/>
        <v>1.039257310235242E-4</v>
      </c>
      <c r="O30" s="51">
        <f t="shared" si="99"/>
        <v>0.28582340953768737</v>
      </c>
      <c r="P30">
        <f>$B30/O30</f>
        <v>0.99961821243550986</v>
      </c>
      <c r="Q30" s="51">
        <f t="shared" si="100"/>
        <v>0.28571981344064606</v>
      </c>
      <c r="R30" s="51">
        <f t="shared" si="92"/>
        <v>5.5277263603659144E-6</v>
      </c>
    </row>
    <row r="31" spans="1:18" x14ac:dyDescent="0.25">
      <c r="E31" s="45" t="s">
        <v>52</v>
      </c>
      <c r="F31" s="64">
        <f>MAX(F28:F30)</f>
        <v>4.8857490429400685E-2</v>
      </c>
      <c r="I31" s="45" t="s">
        <v>52</v>
      </c>
      <c r="J31" s="64">
        <f>MAX(J28:J30)</f>
        <v>1.8501923704496437E-3</v>
      </c>
      <c r="M31" s="45" t="s">
        <v>52</v>
      </c>
      <c r="N31" s="64">
        <f>MAX(N28:N30)</f>
        <v>1.0860529461448332E-4</v>
      </c>
      <c r="Q31" s="45" t="s">
        <v>52</v>
      </c>
      <c r="R31" s="64">
        <f>MAX(R28:R30)</f>
        <v>5.7683402865937872E-6</v>
      </c>
    </row>
    <row r="33" spans="1:18" x14ac:dyDescent="0.25">
      <c r="A33" t="s">
        <v>17</v>
      </c>
      <c r="B33" s="51" t="s">
        <v>48</v>
      </c>
      <c r="C33" s="51" t="s">
        <v>36</v>
      </c>
      <c r="D33" t="s">
        <v>38</v>
      </c>
      <c r="E33" t="s">
        <v>43</v>
      </c>
      <c r="F33" s="51" t="s">
        <v>44</v>
      </c>
      <c r="G33" s="51" t="s">
        <v>36</v>
      </c>
      <c r="H33" t="s">
        <v>38</v>
      </c>
      <c r="I33" t="s">
        <v>46</v>
      </c>
      <c r="J33" t="s">
        <v>44</v>
      </c>
      <c r="K33" s="51" t="s">
        <v>36</v>
      </c>
      <c r="L33" t="s">
        <v>38</v>
      </c>
      <c r="M33" t="s">
        <v>47</v>
      </c>
      <c r="N33" t="s">
        <v>44</v>
      </c>
      <c r="O33" s="51" t="s">
        <v>36</v>
      </c>
      <c r="P33" t="s">
        <v>38</v>
      </c>
      <c r="Q33" t="s">
        <v>53</v>
      </c>
      <c r="R33" t="s">
        <v>44</v>
      </c>
    </row>
    <row r="34" spans="1:18" x14ac:dyDescent="0.25">
      <c r="A34" t="s">
        <v>14</v>
      </c>
      <c r="B34" s="51">
        <f>Marginals!$J$25</f>
        <v>0.19718309859154928</v>
      </c>
      <c r="C34" s="51">
        <f>SUMIF($C$3:$C$20,$A34,$F$3:$F$20)</f>
        <v>0.5054052788609078</v>
      </c>
      <c r="D34">
        <f>$B34/C34</f>
        <v>0.39014847457858842</v>
      </c>
      <c r="E34" s="51">
        <f>SUMIF($C$3:$C$20,$A34,$G$3:$G$20)</f>
        <v>0.19718309859154926</v>
      </c>
      <c r="F34" s="51">
        <f>ABS($B34-E34)</f>
        <v>2.7755575615628914E-17</v>
      </c>
      <c r="G34" s="51">
        <f>SUMIF($C$3:$C$20,$A34,$I$3:$I$20)</f>
        <v>0.20600521340895367</v>
      </c>
      <c r="H34">
        <f>$B34/G34</f>
        <v>0.95717528371531524</v>
      </c>
      <c r="I34" s="51">
        <f>SUMIF($C$3:$C$20,$A34,$J$3:$J$20)</f>
        <v>0.19718309859154931</v>
      </c>
      <c r="J34" s="51">
        <f>ABS($B34-I34)</f>
        <v>2.7755575615628914E-17</v>
      </c>
      <c r="K34" s="51">
        <f>SUMIF($C$3:$C$20,$A34,$L$3:$L$20)</f>
        <v>0.19771633835202554</v>
      </c>
      <c r="L34">
        <f>$B34/K34</f>
        <v>0.99730300608983136</v>
      </c>
      <c r="M34" s="51">
        <f>SUMIF($C$3:$C$20,$A34,$M$3:$M$20)</f>
        <v>0.19718309859154928</v>
      </c>
      <c r="N34" s="51">
        <f>ABS($B34-M34)</f>
        <v>0</v>
      </c>
      <c r="O34" s="51">
        <f>SUMIF($C$3:$C$20,$A34,$O$3:$O$20)</f>
        <v>0.19721123164200743</v>
      </c>
      <c r="P34">
        <f>$B34/O34</f>
        <v>0.99985734559728723</v>
      </c>
      <c r="Q34" s="51">
        <f>SUMIF($C$3:$C$20,$A34,$P$3:$P$20)</f>
        <v>0.19718309859154931</v>
      </c>
      <c r="R34" s="51">
        <f>ABS($B34-Q34)</f>
        <v>2.7755575615628914E-17</v>
      </c>
    </row>
    <row r="35" spans="1:18" x14ac:dyDescent="0.25">
      <c r="A35" t="s">
        <v>15</v>
      </c>
      <c r="B35" s="51">
        <f>Marginals!$K$25</f>
        <v>0.39436619718309857</v>
      </c>
      <c r="C35" s="51">
        <f t="shared" ref="C35:I36" si="101">SUMIF($C$3:$C$20,$A35,$F$3:$F$20)</f>
        <v>0.29749702721221022</v>
      </c>
      <c r="D35">
        <f>$B35/C35</f>
        <v>1.3256139090821561</v>
      </c>
      <c r="E35" s="51">
        <f t="shared" ref="E35:E36" si="102">SUMIF($C$3:$C$20,$A35,$G$3:$G$20)</f>
        <v>0.39436619718309862</v>
      </c>
      <c r="F35" s="51">
        <f t="shared" ref="F35:F36" si="103">ABS($B35-E35)</f>
        <v>5.5511151231257827E-17</v>
      </c>
      <c r="G35" s="51">
        <f t="shared" ref="G35:G36" si="104">SUMIF($C$3:$C$20,$A35,$I$3:$I$20)</f>
        <v>0.396572677576433</v>
      </c>
      <c r="H35">
        <f>$B35/G35</f>
        <v>0.99443612604171605</v>
      </c>
      <c r="I35" s="51">
        <f t="shared" ref="I35:I36" si="105">SUMIF($C$3:$C$20,$A35,$J$3:$J$20)</f>
        <v>0.39436619718309857</v>
      </c>
      <c r="J35" s="51">
        <f t="shared" ref="J35:J36" si="106">ABS($B35-I35)</f>
        <v>0</v>
      </c>
      <c r="K35" s="51">
        <f t="shared" ref="K35:K36" si="107">SUMIF($C$3:$C$20,$A35,$L$3:$L$20)</f>
        <v>0.39445930545870045</v>
      </c>
      <c r="L35">
        <f>$B35/K35</f>
        <v>0.99976395974359478</v>
      </c>
      <c r="M35" s="51">
        <f t="shared" ref="M35:M36" si="108">SUMIF($C$3:$C$20,$A35,$M$3:$M$20)</f>
        <v>0.39436619718309868</v>
      </c>
      <c r="N35" s="51">
        <f t="shared" ref="N35:N36" si="109">ABS($B35-M35)</f>
        <v>1.1102230246251565E-16</v>
      </c>
      <c r="O35" s="51">
        <f t="shared" ref="O35:O36" si="110">SUMIF($C$3:$C$20,$A35,$O$3:$O$20)</f>
        <v>0.39437157073662304</v>
      </c>
      <c r="P35">
        <f>$B35/O35</f>
        <v>0.99998637438922278</v>
      </c>
      <c r="Q35" s="51">
        <f t="shared" ref="Q35:Q36" si="111">SUMIF($C$3:$C$20,$A35,$P$3:$P$20)</f>
        <v>0.39436619718309857</v>
      </c>
      <c r="R35" s="51">
        <f t="shared" ref="R35:R36" si="112">ABS($B35-Q35)</f>
        <v>0</v>
      </c>
    </row>
    <row r="36" spans="1:18" x14ac:dyDescent="0.25">
      <c r="A36" t="s">
        <v>16</v>
      </c>
      <c r="B36" s="51">
        <f>Marginals!$L$25</f>
        <v>0.40845070422535212</v>
      </c>
      <c r="C36" s="51">
        <f t="shared" si="101"/>
        <v>0.19709769392688192</v>
      </c>
      <c r="D36">
        <f>$B36/C36</f>
        <v>2.0723261449059707</v>
      </c>
      <c r="E36" s="51">
        <f t="shared" si="102"/>
        <v>0.40845070422535218</v>
      </c>
      <c r="F36" s="51">
        <f t="shared" si="103"/>
        <v>5.5511151231257827E-17</v>
      </c>
      <c r="G36" s="51">
        <f t="shared" si="104"/>
        <v>0.39742210901461322</v>
      </c>
      <c r="H36">
        <f>$B36/G36</f>
        <v>1.0277503313494152</v>
      </c>
      <c r="I36" s="51">
        <f t="shared" si="105"/>
        <v>0.40845070422535218</v>
      </c>
      <c r="J36" s="51">
        <f t="shared" si="106"/>
        <v>5.5511151231257827E-17</v>
      </c>
      <c r="K36" s="51">
        <f t="shared" si="107"/>
        <v>0.40782435618927387</v>
      </c>
      <c r="L36">
        <f>$B36/K36</f>
        <v>1.0015358279283044</v>
      </c>
      <c r="M36" s="51">
        <f t="shared" si="108"/>
        <v>0.40845070422535212</v>
      </c>
      <c r="N36" s="51">
        <f t="shared" si="109"/>
        <v>0</v>
      </c>
      <c r="O36" s="51">
        <f t="shared" si="110"/>
        <v>0.40841719762136963</v>
      </c>
      <c r="P36">
        <f>$B36/O36</f>
        <v>1.0000820401397827</v>
      </c>
      <c r="Q36" s="51">
        <f t="shared" si="111"/>
        <v>0.40845070422535212</v>
      </c>
      <c r="R36" s="51">
        <f t="shared" si="112"/>
        <v>0</v>
      </c>
    </row>
    <row r="37" spans="1:18" x14ac:dyDescent="0.25">
      <c r="E37" s="45" t="s">
        <v>52</v>
      </c>
      <c r="F37" s="64">
        <f>MAX(F34:F36)</f>
        <v>5.5511151231257827E-17</v>
      </c>
      <c r="I37" s="45" t="s">
        <v>52</v>
      </c>
      <c r="J37" s="64">
        <f>MAX(J34:J36)</f>
        <v>5.5511151231257827E-17</v>
      </c>
      <c r="M37" s="45" t="s">
        <v>52</v>
      </c>
      <c r="N37" s="64">
        <f>MAX(N34:N36)</f>
        <v>1.1102230246251565E-16</v>
      </c>
      <c r="Q37" s="45" t="s">
        <v>52</v>
      </c>
      <c r="R37" s="64">
        <f>MAX(R34:R36)</f>
        <v>2.7755575615628914E-17</v>
      </c>
    </row>
    <row r="39" spans="1:18" x14ac:dyDescent="0.25">
      <c r="E39" s="45" t="s">
        <v>52</v>
      </c>
      <c r="F39" s="64">
        <f>MAX(F25,F31,F37)</f>
        <v>4.8857490429400685E-2</v>
      </c>
      <c r="I39" s="45" t="s">
        <v>52</v>
      </c>
      <c r="J39" s="46">
        <f>MAX(J25,J31,J37)</f>
        <v>4.7958253383489913E-3</v>
      </c>
      <c r="M39" s="45" t="s">
        <v>52</v>
      </c>
      <c r="N39" s="46">
        <f>MAX(N25,N31,N37)</f>
        <v>2.2963042147711166E-4</v>
      </c>
      <c r="Q39" s="45" t="s">
        <v>52</v>
      </c>
      <c r="R39" s="64">
        <f>MAX(R25,R31,R37)</f>
        <v>1.282593928897402E-5</v>
      </c>
    </row>
  </sheetData>
  <mergeCells count="4">
    <mergeCell ref="E1:G1"/>
    <mergeCell ref="H1:J1"/>
    <mergeCell ref="K1:M1"/>
    <mergeCell ref="N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010D-336D-4619-A055-0E0B874195D7}">
  <dimension ref="A1:R39"/>
  <sheetViews>
    <sheetView zoomScale="115" zoomScaleNormal="115" workbookViewId="0">
      <selection activeCell="B37" sqref="B37"/>
    </sheetView>
  </sheetViews>
  <sheetFormatPr defaultRowHeight="15" x14ac:dyDescent="0.25"/>
  <cols>
    <col min="1" max="1" width="8.140625" bestFit="1" customWidth="1"/>
    <col min="2" max="2" width="8.28515625" style="51" bestFit="1" customWidth="1"/>
    <col min="3" max="3" width="14.140625" style="51" bestFit="1" customWidth="1"/>
    <col min="6" max="6" width="13.42578125" style="51" bestFit="1" customWidth="1"/>
    <col min="18" max="18" width="10.5703125" bestFit="1" customWidth="1"/>
  </cols>
  <sheetData>
    <row r="1" spans="1:16" x14ac:dyDescent="0.25">
      <c r="A1" s="6" t="s">
        <v>31</v>
      </c>
      <c r="B1"/>
      <c r="C1"/>
      <c r="E1" s="53" t="s">
        <v>43</v>
      </c>
      <c r="F1" s="54"/>
      <c r="G1" s="55"/>
      <c r="H1" s="53" t="s">
        <v>46</v>
      </c>
      <c r="I1" s="54"/>
      <c r="J1" s="55"/>
      <c r="K1" s="53" t="s">
        <v>47</v>
      </c>
      <c r="L1" s="54"/>
      <c r="M1" s="55"/>
      <c r="N1" s="53" t="s">
        <v>53</v>
      </c>
      <c r="O1" s="54"/>
      <c r="P1" s="55"/>
    </row>
    <row r="2" spans="1:16" ht="18" x14ac:dyDescent="0.35">
      <c r="A2" t="s">
        <v>18</v>
      </c>
      <c r="B2" t="s">
        <v>19</v>
      </c>
      <c r="C2" t="s">
        <v>21</v>
      </c>
      <c r="D2" t="s">
        <v>32</v>
      </c>
      <c r="E2" s="56" t="s">
        <v>49</v>
      </c>
      <c r="F2" s="62" t="s">
        <v>50</v>
      </c>
      <c r="G2" s="58" t="s">
        <v>51</v>
      </c>
      <c r="H2" s="56" t="s">
        <v>49</v>
      </c>
      <c r="I2" s="57" t="s">
        <v>50</v>
      </c>
      <c r="J2" s="58" t="s">
        <v>51</v>
      </c>
      <c r="K2" s="56" t="s">
        <v>49</v>
      </c>
      <c r="L2" s="57" t="s">
        <v>50</v>
      </c>
      <c r="M2" s="58" t="s">
        <v>51</v>
      </c>
      <c r="N2" s="56" t="s">
        <v>49</v>
      </c>
      <c r="O2" s="57" t="s">
        <v>50</v>
      </c>
      <c r="P2" s="58" t="s">
        <v>51</v>
      </c>
    </row>
    <row r="3" spans="1:16" x14ac:dyDescent="0.25">
      <c r="A3" t="s">
        <v>5</v>
      </c>
      <c r="B3" t="s">
        <v>10</v>
      </c>
      <c r="C3" t="s">
        <v>14</v>
      </c>
      <c r="D3" s="52">
        <f>'National Fitting'!P15</f>
        <v>9.6534795495907932E-2</v>
      </c>
      <c r="E3" s="56">
        <f>D3*$D$23</f>
        <v>0.10055713992639942</v>
      </c>
      <c r="F3" s="62">
        <f>E3*$D$28</f>
        <v>0.12294350156891327</v>
      </c>
      <c r="G3" s="58">
        <f>F3*$D$34</f>
        <v>5.1937752463146046E-2</v>
      </c>
      <c r="H3" s="56">
        <f>G3*$H$23</f>
        <v>5.4830419444289923E-2</v>
      </c>
      <c r="I3" s="57">
        <f>H3*$H$28</f>
        <v>6.2868285545514616E-2</v>
      </c>
      <c r="J3" s="58">
        <f>I3*$H$34</f>
        <v>6.0567595981405951E-2</v>
      </c>
      <c r="K3" s="56">
        <f>J3*$L$23</f>
        <v>6.1027907239827837E-2</v>
      </c>
      <c r="L3" s="57">
        <f>K3*$L$28</f>
        <v>6.1356781460099645E-2</v>
      </c>
      <c r="M3" s="58">
        <f>L3*$L$34</f>
        <v>6.1217327627777707E-2</v>
      </c>
      <c r="N3" s="56">
        <f>M3*$P$23</f>
        <v>6.1238654926410577E-2</v>
      </c>
      <c r="O3" s="57">
        <f>N3*$P$28</f>
        <v>6.1257024850144969E-2</v>
      </c>
      <c r="P3" s="58">
        <f>O3*$P$34</f>
        <v>6.1249871873164691E-2</v>
      </c>
    </row>
    <row r="4" spans="1:16" x14ac:dyDescent="0.25">
      <c r="A4" t="s">
        <v>5</v>
      </c>
      <c r="B4" t="s">
        <v>10</v>
      </c>
      <c r="C4" t="s">
        <v>15</v>
      </c>
      <c r="D4" s="52">
        <f>'National Fitting'!P16</f>
        <v>3.6698783595128757E-2</v>
      </c>
      <c r="E4" s="56">
        <f t="shared" ref="E4:E11" si="0">D4*$D$23</f>
        <v>3.8227922876373062E-2</v>
      </c>
      <c r="F4" s="62">
        <f>E4*$D$28</f>
        <v>4.6738348958290148E-2</v>
      </c>
      <c r="G4" s="58">
        <f>F4*$D$35</f>
        <v>6.2814565680906681E-2</v>
      </c>
      <c r="H4" s="56">
        <f t="shared" ref="H4:H11" si="1">G4*$H$23</f>
        <v>6.6313015487894075E-2</v>
      </c>
      <c r="I4" s="57">
        <f t="shared" ref="I4:I5" si="2">H4*$H$28</f>
        <v>7.6034172915874332E-2</v>
      </c>
      <c r="J4" s="58">
        <f>I4*$H$35</f>
        <v>7.5762604111183587E-2</v>
      </c>
      <c r="K4" s="56">
        <f t="shared" ref="K4:K11" si="3">J4*$L$23</f>
        <v>7.6338396811465842E-2</v>
      </c>
      <c r="L4" s="57">
        <f t="shared" ref="L4:L5" si="4">K4*$L$28</f>
        <v>7.6749777962543342E-2</v>
      </c>
      <c r="M4" s="58">
        <f>L4*$L$35</f>
        <v>7.6740586055875457E-2</v>
      </c>
      <c r="N4" s="56">
        <f t="shared" ref="N4:N11" si="5">M4*$P$23</f>
        <v>7.6767321450240053E-2</v>
      </c>
      <c r="O4" s="57">
        <f t="shared" ref="O4:O5" si="6">N4*$P$28</f>
        <v>7.6790349549763617E-2</v>
      </c>
      <c r="P4" s="58">
        <f>O4*$P$35</f>
        <v>7.6789796574063096E-2</v>
      </c>
    </row>
    <row r="5" spans="1:16" x14ac:dyDescent="0.25">
      <c r="A5" t="s">
        <v>5</v>
      </c>
      <c r="B5" t="s">
        <v>10</v>
      </c>
      <c r="C5" t="s">
        <v>16</v>
      </c>
      <c r="D5" s="52">
        <f>'National Fitting'!P17</f>
        <v>1.6791724498794187E-2</v>
      </c>
      <c r="E5" s="56">
        <f t="shared" si="0"/>
        <v>1.749139034642045E-2</v>
      </c>
      <c r="F5" s="62">
        <f>E5*$D$28</f>
        <v>2.1385381267522062E-2</v>
      </c>
      <c r="G5" s="58">
        <f>F5*$D$36</f>
        <v>4.3209982360571435E-2</v>
      </c>
      <c r="H5" s="56">
        <f t="shared" si="1"/>
        <v>4.5616557218020763E-2</v>
      </c>
      <c r="I5" s="57">
        <f t="shared" si="2"/>
        <v>5.2303717058004261E-2</v>
      </c>
      <c r="J5" s="58">
        <f>I5*$H$36</f>
        <v>5.364832216850661E-2</v>
      </c>
      <c r="K5" s="56">
        <f t="shared" si="3"/>
        <v>5.4056047228242997E-2</v>
      </c>
      <c r="L5" s="57">
        <f t="shared" si="4"/>
        <v>5.4347350685746497E-2</v>
      </c>
      <c r="M5" s="58">
        <f>L5*$L$36</f>
        <v>5.4423810916668168E-2</v>
      </c>
      <c r="N5" s="56">
        <f t="shared" si="5"/>
        <v>5.4442771444890112E-2</v>
      </c>
      <c r="O5" s="57">
        <f t="shared" si="6"/>
        <v>5.4459102789210678E-2</v>
      </c>
      <c r="P5" s="58">
        <f>O5*$P$36</f>
        <v>5.4463084963314319E-2</v>
      </c>
    </row>
    <row r="6" spans="1:16" x14ac:dyDescent="0.25">
      <c r="A6" t="s">
        <v>5</v>
      </c>
      <c r="B6" t="s">
        <v>11</v>
      </c>
      <c r="C6" t="s">
        <v>14</v>
      </c>
      <c r="D6" s="52">
        <f>'National Fitting'!P18</f>
        <v>0.13436674183659997</v>
      </c>
      <c r="E6" s="56">
        <f t="shared" si="0"/>
        <v>0.13996544138211922</v>
      </c>
      <c r="F6" s="62">
        <f>E6*$D$29</f>
        <v>0.13285709049583905</v>
      </c>
      <c r="G6" s="58">
        <f t="shared" ref="G6" si="7">F6*$D$34</f>
        <v>5.6125769895034844E-2</v>
      </c>
      <c r="H6" s="56">
        <f t="shared" si="1"/>
        <v>5.9251688011762144E-2</v>
      </c>
      <c r="I6" s="57">
        <f>H6*$H$29</f>
        <v>5.8437606054084393E-2</v>
      </c>
      <c r="J6" s="58">
        <f t="shared" ref="J6" si="8">I6*$H$34</f>
        <v>5.6299058943510012E-2</v>
      </c>
      <c r="K6" s="56">
        <f t="shared" si="3"/>
        <v>5.6726929494591669E-2</v>
      </c>
      <c r="L6" s="57">
        <f>K6*$L$29</f>
        <v>5.6660169155653632E-2</v>
      </c>
      <c r="M6" s="58">
        <f t="shared" ref="M6" si="9">L6*$L$34</f>
        <v>5.6531389947541102E-2</v>
      </c>
      <c r="N6" s="56">
        <f t="shared" si="5"/>
        <v>5.6551084728124687E-2</v>
      </c>
      <c r="O6" s="57">
        <f>N6*$P$29</f>
        <v>5.6547535442167063E-2</v>
      </c>
      <c r="P6" s="58">
        <f t="shared" ref="P6" si="10">O6*$P$34</f>
        <v>5.6540932391818163E-2</v>
      </c>
    </row>
    <row r="7" spans="1:16" x14ac:dyDescent="0.25">
      <c r="A7" t="s">
        <v>5</v>
      </c>
      <c r="B7" t="s">
        <v>11</v>
      </c>
      <c r="C7" t="s">
        <v>15</v>
      </c>
      <c r="D7" s="52">
        <f>'National Fitting'!P19</f>
        <v>7.3523039023844466E-2</v>
      </c>
      <c r="E7" s="56">
        <f t="shared" si="0"/>
        <v>7.6586545659054622E-2</v>
      </c>
      <c r="F7" s="62">
        <f>E7*$D$29</f>
        <v>7.2696985248021428E-2</v>
      </c>
      <c r="G7" s="58">
        <f t="shared" ref="G7" si="11">F7*$D$35</f>
        <v>9.7701986836139232E-2</v>
      </c>
      <c r="H7" s="56">
        <f t="shared" si="1"/>
        <v>0.10314348743849192</v>
      </c>
      <c r="I7" s="57">
        <f t="shared" ref="I7:I8" si="12">H7*$H$29</f>
        <v>0.10172635899889422</v>
      </c>
      <c r="J7" s="58">
        <f t="shared" ref="J7" si="13">I7*$H$35</f>
        <v>0.10136302624127434</v>
      </c>
      <c r="K7" s="56">
        <f t="shared" si="3"/>
        <v>0.10213338110529925</v>
      </c>
      <c r="L7" s="57">
        <f t="shared" ref="L7:M8" si="14">K7*$L$29</f>
        <v>0.10201318318166357</v>
      </c>
      <c r="M7" s="58">
        <f t="shared" ref="M7" si="15">L7*$L$35</f>
        <v>0.10200096561330582</v>
      </c>
      <c r="N7" s="56">
        <f t="shared" si="5"/>
        <v>0.10203650138624422</v>
      </c>
      <c r="O7" s="57">
        <f t="shared" ref="O7:O8" si="16">N7*$P$29</f>
        <v>0.10203009732302816</v>
      </c>
      <c r="P7" s="58">
        <f t="shared" ref="P7" si="17">O7*$P$35</f>
        <v>0.10202936259314514</v>
      </c>
    </row>
    <row r="8" spans="1:16" x14ac:dyDescent="0.25">
      <c r="A8" t="s">
        <v>5</v>
      </c>
      <c r="B8" t="s">
        <v>11</v>
      </c>
      <c r="C8" t="s">
        <v>16</v>
      </c>
      <c r="D8" s="52">
        <f>'National Fitting'!P20</f>
        <v>4.2109648710658025E-2</v>
      </c>
      <c r="E8" s="56">
        <f t="shared" si="0"/>
        <v>4.386424414012105E-2</v>
      </c>
      <c r="F8" s="62">
        <f>E8*$D$29</f>
        <v>4.1636533959447317E-2</v>
      </c>
      <c r="G8" s="58">
        <f t="shared" ref="G8" si="18">F8*$D$36</f>
        <v>8.4128212419357834E-2</v>
      </c>
      <c r="H8" s="56">
        <f t="shared" si="1"/>
        <v>8.8813723260837044E-2</v>
      </c>
      <c r="I8" s="57">
        <f t="shared" si="12"/>
        <v>8.7593477017616439E-2</v>
      </c>
      <c r="J8" s="58">
        <f t="shared" ref="J8" si="19">I8*$H$36</f>
        <v>8.9845298560508727E-2</v>
      </c>
      <c r="K8" s="56">
        <f t="shared" si="3"/>
        <v>9.0528119164060075E-2</v>
      </c>
      <c r="L8" s="57">
        <f t="shared" si="14"/>
        <v>9.0421579149067857E-2</v>
      </c>
      <c r="M8" s="58">
        <f t="shared" ref="M8" si="20">L8*$L$36</f>
        <v>9.0548791510568549E-2</v>
      </c>
      <c r="N8" s="56">
        <f t="shared" si="5"/>
        <v>9.0580337499134619E-2</v>
      </c>
      <c r="O8" s="57">
        <f t="shared" si="16"/>
        <v>9.0574652453101145E-2</v>
      </c>
      <c r="P8" s="58">
        <f t="shared" ref="P8" si="21">O8*$P$36</f>
        <v>9.0581275478765766E-2</v>
      </c>
    </row>
    <row r="9" spans="1:16" x14ac:dyDescent="0.25">
      <c r="A9" t="s">
        <v>5</v>
      </c>
      <c r="B9" t="s">
        <v>12</v>
      </c>
      <c r="C9" t="s">
        <v>14</v>
      </c>
      <c r="D9" s="52">
        <f>'National Fitting'!P21</f>
        <v>6.9093474457140869E-2</v>
      </c>
      <c r="E9" s="56">
        <f t="shared" si="0"/>
        <v>7.1972413089975776E-2</v>
      </c>
      <c r="F9" s="62">
        <f>E9*$D$30</f>
        <v>6.0416143421033602E-2</v>
      </c>
      <c r="G9" s="58">
        <f t="shared" ref="G9" si="22">F9*$D$34</f>
        <v>2.5522932580708254E-2</v>
      </c>
      <c r="H9" s="56">
        <f t="shared" si="1"/>
        <v>2.694442929238371E-2</v>
      </c>
      <c r="I9" s="57">
        <f>H9*$H$30</f>
        <v>2.2941406259684424E-2</v>
      </c>
      <c r="J9" s="58">
        <f t="shared" ref="J9" si="23">I9*$H$34</f>
        <v>2.2101856500856956E-2</v>
      </c>
      <c r="K9" s="56">
        <f t="shared" si="3"/>
        <v>2.2269829708551923E-2</v>
      </c>
      <c r="L9" s="57">
        <f>K9*$L$30</f>
        <v>2.2130298014895324E-2</v>
      </c>
      <c r="M9" s="58">
        <f t="shared" ref="M9" si="24">L9*$L$34</f>
        <v>2.2079999501916598E-2</v>
      </c>
      <c r="N9" s="56">
        <f t="shared" si="5"/>
        <v>2.2087691878592271E-2</v>
      </c>
      <c r="O9" s="57">
        <f>N9*$P$30</f>
        <v>2.2079784769253603E-2</v>
      </c>
      <c r="P9" s="58">
        <f t="shared" ref="P9" si="25">O9*$P$34</f>
        <v>2.2077206514880814E-2</v>
      </c>
    </row>
    <row r="10" spans="1:16" x14ac:dyDescent="0.25">
      <c r="A10" t="s">
        <v>5</v>
      </c>
      <c r="B10" t="s">
        <v>12</v>
      </c>
      <c r="C10" t="s">
        <v>15</v>
      </c>
      <c r="D10" s="52">
        <f>'National Fitting'!P22</f>
        <v>4.9780244158952915E-2</v>
      </c>
      <c r="E10" s="56">
        <f t="shared" si="0"/>
        <v>5.1854452601749673E-2</v>
      </c>
      <c r="F10" s="62">
        <f>E10*$D$30</f>
        <v>4.3528428614585883E-2</v>
      </c>
      <c r="G10" s="58">
        <f t="shared" ref="G10" si="26">F10*$D$35</f>
        <v>5.8500554665241004E-2</v>
      </c>
      <c r="H10" s="56">
        <f t="shared" si="1"/>
        <v>6.1758736138896833E-2</v>
      </c>
      <c r="I10" s="57">
        <f t="shared" ref="I10:I11" si="27">H10*$H$30</f>
        <v>5.2583494735499094E-2</v>
      </c>
      <c r="J10" s="58">
        <f t="shared" ref="J10" si="28">I10*$H$35</f>
        <v>5.2395683962209283E-2</v>
      </c>
      <c r="K10" s="56">
        <f t="shared" si="3"/>
        <v>5.2793889022682942E-2</v>
      </c>
      <c r="L10" s="57">
        <f t="shared" ref="L10:M11" si="29">K10*$L$30</f>
        <v>5.246310873174858E-2</v>
      </c>
      <c r="M10" s="58">
        <f t="shared" ref="M10" si="30">L10*$L$35</f>
        <v>5.2456825508372946E-2</v>
      </c>
      <c r="N10" s="56">
        <f t="shared" si="5"/>
        <v>5.2475100765171999E-2</v>
      </c>
      <c r="O10" s="57">
        <f t="shared" ref="O10:O11" si="31">N10*$P$30</f>
        <v>5.2456315354655204E-2</v>
      </c>
      <c r="P10" s="58">
        <f t="shared" ref="P10" si="32">O10*$P$35</f>
        <v>5.2455937610994707E-2</v>
      </c>
    </row>
    <row r="11" spans="1:16" x14ac:dyDescent="0.25">
      <c r="A11" t="s">
        <v>5</v>
      </c>
      <c r="B11" t="s">
        <v>12</v>
      </c>
      <c r="C11" t="s">
        <v>16</v>
      </c>
      <c r="D11" s="52">
        <f>'National Fitting'!P23</f>
        <v>4.1101206929415081E-2</v>
      </c>
      <c r="E11" s="56">
        <f t="shared" si="0"/>
        <v>4.2813783311120047E-2</v>
      </c>
      <c r="F11" s="62">
        <f>E11*$D$30</f>
        <v>3.5939376795495387E-2</v>
      </c>
      <c r="G11" s="58">
        <f t="shared" ref="G11" si="33">F11*$D$36</f>
        <v>7.2616888048740696E-2</v>
      </c>
      <c r="H11" s="56">
        <f t="shared" si="1"/>
        <v>7.6661277040756967E-2</v>
      </c>
      <c r="I11" s="57">
        <f t="shared" si="27"/>
        <v>6.5272026432393368E-2</v>
      </c>
      <c r="J11" s="58">
        <f t="shared" ref="J11" si="34">I11*$H$36</f>
        <v>6.6950016167167087E-2</v>
      </c>
      <c r="K11" s="56">
        <f t="shared" si="3"/>
        <v>6.7458833558610778E-2</v>
      </c>
      <c r="L11" s="57">
        <f t="shared" si="29"/>
        <v>6.7036170007891444E-2</v>
      </c>
      <c r="M11" s="58">
        <f t="shared" ref="M11" si="35">L11*$L$36</f>
        <v>6.7130481891989446E-2</v>
      </c>
      <c r="N11" s="56">
        <f t="shared" si="5"/>
        <v>6.7153869254524837E-2</v>
      </c>
      <c r="O11" s="57">
        <f t="shared" si="31"/>
        <v>6.7129829033861277E-2</v>
      </c>
      <c r="P11" s="58">
        <f t="shared" ref="P11" si="36">O11*$P$36</f>
        <v>6.7134737720436502E-2</v>
      </c>
    </row>
    <row r="12" spans="1:16" x14ac:dyDescent="0.25">
      <c r="A12" t="s">
        <v>6</v>
      </c>
      <c r="B12" t="s">
        <v>10</v>
      </c>
      <c r="C12" t="s">
        <v>14</v>
      </c>
      <c r="D12" s="52">
        <f>'National Fitting'!P24</f>
        <v>8.3465204504092075E-2</v>
      </c>
      <c r="E12" s="56">
        <f>D12*$D$24</f>
        <v>7.9038958108828369E-2</v>
      </c>
      <c r="F12" s="62">
        <f>E12*$D$28</f>
        <v>9.6634871252010479E-2</v>
      </c>
      <c r="G12" s="58">
        <f t="shared" ref="G12" si="37">F12*$D$34</f>
        <v>4.0823613760354947E-2</v>
      </c>
      <c r="H12" s="56">
        <f>G12*$H$24</f>
        <v>3.8015795533490451E-2</v>
      </c>
      <c r="I12" s="57">
        <f>H12*$H$28</f>
        <v>4.3588721608590064E-2</v>
      </c>
      <c r="J12" s="58">
        <f t="shared" ref="J12" si="38">I12*$H$34</f>
        <v>4.1993575247471014E-2</v>
      </c>
      <c r="K12" s="56">
        <f>J12*$L$24</f>
        <v>4.1554769774259016E-2</v>
      </c>
      <c r="L12" s="57">
        <f>K12*$L$28</f>
        <v>4.1778704906990642E-2</v>
      </c>
      <c r="M12" s="58">
        <f t="shared" ref="M12" si="39">L12*$L$34</f>
        <v>4.1683748809716932E-2</v>
      </c>
      <c r="N12" s="56">
        <f>M12*$P$24</f>
        <v>4.1663434909497622E-2</v>
      </c>
      <c r="O12" s="57">
        <f>N12*$P$28</f>
        <v>4.1675932801927169E-2</v>
      </c>
      <c r="P12" s="58">
        <f t="shared" ref="P12" si="40">O12*$P$34</f>
        <v>4.1671066307207696E-2</v>
      </c>
    </row>
    <row r="13" spans="1:16" x14ac:dyDescent="0.25">
      <c r="A13" t="s">
        <v>6</v>
      </c>
      <c r="B13" t="s">
        <v>10</v>
      </c>
      <c r="C13" t="s">
        <v>15</v>
      </c>
      <c r="D13" s="52">
        <f>'National Fitting'!P25</f>
        <v>4.3301216404871251E-2</v>
      </c>
      <c r="E13" s="56">
        <f t="shared" ref="E13:E20" si="41">D13*$D$24</f>
        <v>4.1004907971178998E-2</v>
      </c>
      <c r="F13" s="62">
        <f t="shared" ref="F13:F14" si="42">E13*$D$28</f>
        <v>5.0133555619995239E-2</v>
      </c>
      <c r="G13" s="58">
        <f t="shared" ref="G13" si="43">F13*$D$35</f>
        <v>6.7377594470011959E-2</v>
      </c>
      <c r="H13" s="56">
        <f t="shared" ref="H13:H20" si="44">G13*$H$24</f>
        <v>6.274341291651836E-2</v>
      </c>
      <c r="I13" s="57">
        <f t="shared" ref="I13:I14" si="45">H13*$H$28</f>
        <v>7.1941284405888248E-2</v>
      </c>
      <c r="J13" s="58">
        <f t="shared" ref="J13" si="46">I13*$H$35</f>
        <v>7.1684334039167741E-2</v>
      </c>
      <c r="K13" s="56">
        <f t="shared" ref="K13:K20" si="47">J13*$L$24</f>
        <v>7.0935279500834794E-2</v>
      </c>
      <c r="L13" s="57">
        <f t="shared" ref="L13:L14" si="48">K13*$L$28</f>
        <v>7.1317543710615453E-2</v>
      </c>
      <c r="M13" s="58">
        <f t="shared" ref="M13" si="49">L13*$L$35</f>
        <v>7.130900239332473E-2</v>
      </c>
      <c r="N13" s="56">
        <f t="shared" ref="N13:N20" si="50">M13*$P$24</f>
        <v>7.1274251105335515E-2</v>
      </c>
      <c r="O13" s="57">
        <f t="shared" ref="O13:O14" si="51">N13*$P$28</f>
        <v>7.1295631433799689E-2</v>
      </c>
      <c r="P13" s="58">
        <f t="shared" ref="P13" si="52">O13*$P$35</f>
        <v>7.1295118026164908E-2</v>
      </c>
    </row>
    <row r="14" spans="1:16" x14ac:dyDescent="0.25">
      <c r="A14" t="s">
        <v>6</v>
      </c>
      <c r="B14" t="s">
        <v>10</v>
      </c>
      <c r="C14" t="s">
        <v>16</v>
      </c>
      <c r="D14" s="52">
        <f>'National Fitting'!P26</f>
        <v>2.320827550120581E-2</v>
      </c>
      <c r="E14" s="56">
        <f t="shared" si="41"/>
        <v>2.1977516571327876E-2</v>
      </c>
      <c r="F14" s="62">
        <f t="shared" si="42"/>
        <v>2.6870223686209952E-2</v>
      </c>
      <c r="G14" s="58">
        <f t="shared" ref="G14" si="53">F14*$D$36</f>
        <v>5.4292316652265783E-2</v>
      </c>
      <c r="H14" s="56">
        <f t="shared" si="44"/>
        <v>5.0558130914329646E-2</v>
      </c>
      <c r="I14" s="57">
        <f t="shared" si="45"/>
        <v>5.7969700819069651E-2</v>
      </c>
      <c r="J14" s="58">
        <f t="shared" ref="J14" si="54">I14*$H$36</f>
        <v>5.9459964998366345E-2</v>
      </c>
      <c r="K14" s="56">
        <f t="shared" si="47"/>
        <v>5.8838647143801236E-2</v>
      </c>
      <c r="L14" s="57">
        <f t="shared" si="48"/>
        <v>5.9155723626945614E-2</v>
      </c>
      <c r="M14" s="58">
        <f t="shared" ref="M14" si="55">L14*$L$36</f>
        <v>5.9238948664261756E-2</v>
      </c>
      <c r="N14" s="56">
        <f t="shared" si="50"/>
        <v>5.9210079521571257E-2</v>
      </c>
      <c r="O14" s="57">
        <f t="shared" si="51"/>
        <v>5.9227840928095056E-2</v>
      </c>
      <c r="P14" s="58">
        <f t="shared" ref="P14" si="56">O14*$P$36</f>
        <v>5.9232171803233986E-2</v>
      </c>
    </row>
    <row r="15" spans="1:16" x14ac:dyDescent="0.25">
      <c r="A15" t="s">
        <v>6</v>
      </c>
      <c r="B15" t="s">
        <v>11</v>
      </c>
      <c r="C15" t="s">
        <v>14</v>
      </c>
      <c r="D15" s="52">
        <f>'National Fitting'!P27</f>
        <v>7.5633258163399997E-2</v>
      </c>
      <c r="E15" s="56">
        <f t="shared" si="41"/>
        <v>7.1622348008721276E-2</v>
      </c>
      <c r="F15" s="62">
        <f>E15*$D$29</f>
        <v>6.7984901679699797E-2</v>
      </c>
      <c r="G15" s="58">
        <f t="shared" ref="G15" si="57">F15*$D$34</f>
        <v>2.8720371142938003E-2</v>
      </c>
      <c r="H15" s="56">
        <f t="shared" si="44"/>
        <v>2.6745005070477071E-2</v>
      </c>
      <c r="I15" s="57">
        <f>H15*$H$29</f>
        <v>2.6377545056822216E-2</v>
      </c>
      <c r="J15" s="58">
        <f t="shared" ref="J15" si="58">I15*$H$34</f>
        <v>2.5412248451189445E-2</v>
      </c>
      <c r="K15" s="56">
        <f t="shared" si="47"/>
        <v>2.5146707028691092E-2</v>
      </c>
      <c r="L15" s="57">
        <f>K15*$L$29</f>
        <v>2.5117112571536999E-2</v>
      </c>
      <c r="M15" s="58">
        <f t="shared" ref="M15" si="59">L15*$L$34</f>
        <v>2.5060025522288171E-2</v>
      </c>
      <c r="N15" s="56">
        <f t="shared" si="50"/>
        <v>2.504781292451351E-2</v>
      </c>
      <c r="O15" s="57">
        <f>N15*$P$29</f>
        <v>2.504624086181817E-2</v>
      </c>
      <c r="P15" s="58">
        <f t="shared" ref="P15" si="60">O15*$P$34</f>
        <v>2.5043316214648881E-2</v>
      </c>
    </row>
    <row r="16" spans="1:16" x14ac:dyDescent="0.25">
      <c r="A16" t="s">
        <v>6</v>
      </c>
      <c r="B16" t="s">
        <v>11</v>
      </c>
      <c r="C16" t="s">
        <v>15</v>
      </c>
      <c r="D16" s="52">
        <f>'National Fitting'!P28</f>
        <v>5.6476960976155538E-2</v>
      </c>
      <c r="E16" s="56">
        <f t="shared" si="41"/>
        <v>5.348192913718243E-2</v>
      </c>
      <c r="F16" s="62">
        <f t="shared" ref="F16:F17" si="61">E16*$D$29</f>
        <v>5.0765770672434207E-2</v>
      </c>
      <c r="G16" s="58">
        <f t="shared" ref="G16" si="62">F16*$D$35</f>
        <v>6.8227267486303672E-2</v>
      </c>
      <c r="H16" s="56">
        <f t="shared" si="44"/>
        <v>6.353464604564027E-2</v>
      </c>
      <c r="I16" s="57">
        <f t="shared" ref="I16:I17" si="63">H16*$H$29</f>
        <v>6.2661718863836938E-2</v>
      </c>
      <c r="J16" s="58">
        <f t="shared" ref="J16" si="64">I16*$H$35</f>
        <v>6.2437912022266534E-2</v>
      </c>
      <c r="K16" s="56">
        <f t="shared" si="47"/>
        <v>6.1785476563512638E-2</v>
      </c>
      <c r="L16" s="57">
        <f t="shared" ref="L16:M17" si="65">K16*$L$29</f>
        <v>6.1712762961814494E-2</v>
      </c>
      <c r="M16" s="58">
        <f t="shared" ref="M16" si="66">L16*$L$35</f>
        <v>6.1705371957274532E-2</v>
      </c>
      <c r="N16" s="56">
        <f t="shared" si="50"/>
        <v>6.1675300843117856E-2</v>
      </c>
      <c r="O16" s="57">
        <f t="shared" ref="O16:O17" si="67">N16*$P$29</f>
        <v>6.1671429948682015E-2</v>
      </c>
      <c r="P16" s="58">
        <f t="shared" ref="P16" si="68">O16*$P$35</f>
        <v>6.1670985845974087E-2</v>
      </c>
    </row>
    <row r="17" spans="1:18" x14ac:dyDescent="0.25">
      <c r="A17" t="s">
        <v>6</v>
      </c>
      <c r="B17" t="s">
        <v>11</v>
      </c>
      <c r="C17" t="s">
        <v>16</v>
      </c>
      <c r="D17" s="52">
        <f>'National Fitting'!P29</f>
        <v>3.7890351289341984E-2</v>
      </c>
      <c r="E17" s="56">
        <f t="shared" si="41"/>
        <v>3.5880986646839932E-2</v>
      </c>
      <c r="F17" s="62">
        <f t="shared" si="61"/>
        <v>3.4058717944558288E-2</v>
      </c>
      <c r="G17" s="58">
        <f t="shared" ref="G17" si="69">F17*$D$36</f>
        <v>6.881694477166389E-2</v>
      </c>
      <c r="H17" s="56">
        <f t="shared" si="44"/>
        <v>6.4083765759602673E-2</v>
      </c>
      <c r="I17" s="57">
        <f t="shared" si="63"/>
        <v>6.3203294008745831E-2</v>
      </c>
      <c r="J17" s="58">
        <f t="shared" ref="J17" si="70">I17*$H$36</f>
        <v>6.482810151583937E-2</v>
      </c>
      <c r="K17" s="56">
        <f t="shared" si="47"/>
        <v>6.4150690135754349E-2</v>
      </c>
      <c r="L17" s="57">
        <f t="shared" si="65"/>
        <v>6.4075192980263485E-2</v>
      </c>
      <c r="M17" s="58">
        <f t="shared" ref="M17" si="71">L17*$L$36</f>
        <v>6.4165339123356091E-2</v>
      </c>
      <c r="N17" s="56">
        <f t="shared" si="50"/>
        <v>6.4134069184022174E-2</v>
      </c>
      <c r="O17" s="57">
        <f t="shared" si="67"/>
        <v>6.4130043971203449E-2</v>
      </c>
      <c r="P17" s="58">
        <f t="shared" ref="P17" si="72">O17*$P$36</f>
        <v>6.4134733306636604E-2</v>
      </c>
    </row>
    <row r="18" spans="1:18" x14ac:dyDescent="0.25">
      <c r="A18" t="s">
        <v>6</v>
      </c>
      <c r="B18" t="s">
        <v>12</v>
      </c>
      <c r="C18" t="s">
        <v>14</v>
      </c>
      <c r="D18" s="52">
        <f>'National Fitting'!P30</f>
        <v>4.0906525542859139E-2</v>
      </c>
      <c r="E18" s="56">
        <f t="shared" si="41"/>
        <v>3.8737210050222133E-2</v>
      </c>
      <c r="F18" s="62">
        <f>E18*$D$30</f>
        <v>3.2517359605535943E-2</v>
      </c>
      <c r="G18" s="58">
        <f t="shared" ref="G18" si="73">F18*$D$34</f>
        <v>1.3737030037336024E-2</v>
      </c>
      <c r="H18" s="56">
        <f t="shared" si="44"/>
        <v>1.2792207181911238E-2</v>
      </c>
      <c r="I18" s="57">
        <f>H18*$H$30</f>
        <v>1.0891721577537105E-2</v>
      </c>
      <c r="J18" s="58">
        <f t="shared" ref="J18" si="74">I18*$H$34</f>
        <v>1.0493134755084706E-2</v>
      </c>
      <c r="K18" s="56">
        <f t="shared" si="47"/>
        <v>1.0383488340495142E-2</v>
      </c>
      <c r="L18" s="57">
        <f>K18*$L$30</f>
        <v>1.031843055904042E-2</v>
      </c>
      <c r="M18" s="58">
        <f t="shared" ref="M18" si="75">L18*$L$34</f>
        <v>1.0294978470277555E-2</v>
      </c>
      <c r="N18" s="56">
        <f t="shared" si="50"/>
        <v>1.0289961379171863E-2</v>
      </c>
      <c r="O18" s="57">
        <f>N18*$P$30</f>
        <v>1.0286277705469648E-2</v>
      </c>
      <c r="P18" s="58">
        <f t="shared" ref="P18" si="76">O18*$P$34</f>
        <v>1.0285076577797843E-2</v>
      </c>
    </row>
    <row r="19" spans="1:18" x14ac:dyDescent="0.25">
      <c r="A19" t="s">
        <v>6</v>
      </c>
      <c r="B19" t="s">
        <v>12</v>
      </c>
      <c r="C19" t="s">
        <v>15</v>
      </c>
      <c r="D19" s="52">
        <f>'National Fitting'!P31</f>
        <v>4.0219755841047082E-2</v>
      </c>
      <c r="E19" s="56">
        <f t="shared" si="41"/>
        <v>3.8086860458264031E-2</v>
      </c>
      <c r="F19" s="62">
        <f t="shared" ref="F19:F20" si="77">E19*$D$30</f>
        <v>3.1971433568952573E-2</v>
      </c>
      <c r="G19" s="58">
        <f t="shared" ref="G19" si="78">F19*$D$35</f>
        <v>4.2968392307180588E-2</v>
      </c>
      <c r="H19" s="56">
        <f t="shared" si="44"/>
        <v>4.0013057784191092E-2</v>
      </c>
      <c r="I19" s="57">
        <f t="shared" ref="I19:I20" si="79">H19*$H$30</f>
        <v>3.4068482370076827E-2</v>
      </c>
      <c r="J19" s="58">
        <f t="shared" ref="J19" si="80">I19*$H$35</f>
        <v>3.3946801069681724E-2</v>
      </c>
      <c r="K19" s="56">
        <f t="shared" si="47"/>
        <v>3.3592079138537928E-2</v>
      </c>
      <c r="L19" s="57">
        <f t="shared" ref="L19:M20" si="81">K19*$L$30</f>
        <v>3.3381607852632819E-2</v>
      </c>
      <c r="M19" s="58">
        <f t="shared" ref="M19" si="82">L19*$L$35</f>
        <v>3.3377609917629607E-2</v>
      </c>
      <c r="N19" s="56">
        <f t="shared" si="50"/>
        <v>3.3361343879742253E-2</v>
      </c>
      <c r="O19" s="57">
        <f t="shared" ref="O19:O20" si="83">N19*$P$30</f>
        <v>3.3349400948122596E-2</v>
      </c>
      <c r="P19" s="58">
        <f t="shared" ref="P19" si="84">O19*$P$35</f>
        <v>3.3349160795441181E-2</v>
      </c>
    </row>
    <row r="20" spans="1:18" x14ac:dyDescent="0.25">
      <c r="A20" t="s">
        <v>6</v>
      </c>
      <c r="B20" t="s">
        <v>12</v>
      </c>
      <c r="C20" t="s">
        <v>16</v>
      </c>
      <c r="D20" s="52">
        <f>'National Fitting'!P32</f>
        <v>3.8898793070584914E-2</v>
      </c>
      <c r="E20" s="59">
        <f t="shared" si="41"/>
        <v>3.6835949714101625E-2</v>
      </c>
      <c r="F20" s="63">
        <f t="shared" si="77"/>
        <v>3.0921375641455438E-2</v>
      </c>
      <c r="G20" s="61">
        <f t="shared" ref="G20" si="85">F20*$D$36</f>
        <v>6.2477824422099204E-2</v>
      </c>
      <c r="H20" s="59">
        <f t="shared" si="44"/>
        <v>5.8180645460505859E-2</v>
      </c>
      <c r="I20" s="60">
        <f t="shared" si="79"/>
        <v>4.9536986271867978E-2</v>
      </c>
      <c r="J20" s="61">
        <f t="shared" ref="J20" si="86">I20*$H$36</f>
        <v>5.0810465264310732E-2</v>
      </c>
      <c r="K20" s="59">
        <f t="shared" si="47"/>
        <v>5.0279529040780431E-2</v>
      </c>
      <c r="L20" s="60">
        <f t="shared" si="81"/>
        <v>4.9964502480850242E-2</v>
      </c>
      <c r="M20" s="61">
        <f t="shared" ref="M20" si="87">L20*$L$36</f>
        <v>5.0034796567854818E-2</v>
      </c>
      <c r="N20" s="59">
        <f t="shared" si="50"/>
        <v>5.0010412919694651E-2</v>
      </c>
      <c r="O20" s="60">
        <f t="shared" si="83"/>
        <v>4.9992509835696489E-2</v>
      </c>
      <c r="P20" s="61">
        <f t="shared" ref="P20" si="88">O20*$P$36</f>
        <v>4.9996165402311575E-2</v>
      </c>
    </row>
    <row r="22" spans="1:18" x14ac:dyDescent="0.25">
      <c r="A22" t="s">
        <v>8</v>
      </c>
      <c r="B22" s="51" t="s">
        <v>48</v>
      </c>
      <c r="C22" s="51" t="s">
        <v>36</v>
      </c>
      <c r="D22" t="s">
        <v>38</v>
      </c>
      <c r="E22" t="s">
        <v>43</v>
      </c>
      <c r="F22" s="51" t="s">
        <v>44</v>
      </c>
      <c r="G22" s="51" t="s">
        <v>36</v>
      </c>
      <c r="H22" t="s">
        <v>38</v>
      </c>
      <c r="I22" t="s">
        <v>46</v>
      </c>
      <c r="J22" t="s">
        <v>44</v>
      </c>
      <c r="K22" s="51" t="s">
        <v>36</v>
      </c>
      <c r="L22" t="s">
        <v>38</v>
      </c>
      <c r="M22" t="s">
        <v>47</v>
      </c>
      <c r="N22" t="s">
        <v>44</v>
      </c>
      <c r="O22" s="51" t="s">
        <v>36</v>
      </c>
      <c r="P22" t="s">
        <v>38</v>
      </c>
      <c r="Q22" t="s">
        <v>53</v>
      </c>
      <c r="R22" t="s">
        <v>44</v>
      </c>
    </row>
    <row r="23" spans="1:18" x14ac:dyDescent="0.25">
      <c r="A23" t="s">
        <v>5</v>
      </c>
      <c r="B23" s="51">
        <f>Marginals!$J$12</f>
        <v>0.58333333333333337</v>
      </c>
      <c r="C23" s="51">
        <f>SUMIF($A$3:$A$20,$A23,$D$3:$D$20)</f>
        <v>0.55999965870644219</v>
      </c>
      <c r="D23">
        <f>$B23/C23</f>
        <v>1.0416673015137012</v>
      </c>
      <c r="E23">
        <f>SUMIF($A$3:$A$20,$A23,$G$3:$G$20)</f>
        <v>0.55255864494984608</v>
      </c>
      <c r="F23" s="51">
        <f>ABS($B23-E23)</f>
        <v>3.0774688383487292E-2</v>
      </c>
      <c r="G23" s="51">
        <f>SUMIF($A$3:$A$20,$A23,$G$3:$G$20)</f>
        <v>0.55255864494984608</v>
      </c>
      <c r="H23">
        <f>$B23/G23</f>
        <v>1.0556948817374501</v>
      </c>
      <c r="I23">
        <f>SUMIF($A$3:$A$20,$A23,$J$3:$J$20)</f>
        <v>0.5789334626366226</v>
      </c>
      <c r="J23" s="51">
        <f>ABS($B23-I23)</f>
        <v>4.3998706967107726E-3</v>
      </c>
      <c r="K23" s="51">
        <f>SUMIF($A$3:$A$20,$A23,$J$3:$J$20)</f>
        <v>0.5789334626366226</v>
      </c>
      <c r="L23">
        <f>$B23/K23</f>
        <v>1.0075999592019997</v>
      </c>
      <c r="M23">
        <f>SUMIF($A$3:$A$20,$A23,$M$3:$M$20)</f>
        <v>0.58313017857401583</v>
      </c>
      <c r="N23" s="51">
        <f>ABS($B23-M23)</f>
        <v>2.0315475931753646E-4</v>
      </c>
      <c r="O23" s="51">
        <f>SUMIF($A$3:$A$20,$A23,$M$3:$M$20)</f>
        <v>0.58313017857401583</v>
      </c>
      <c r="P23">
        <f>$B23/O23</f>
        <v>1.000348386632663</v>
      </c>
      <c r="Q23">
        <f>SUMIF($A$3:$A$20,$A23,$P$3:$P$20)</f>
        <v>0.58332220572058324</v>
      </c>
      <c r="R23" s="51">
        <f>ABS($B23-Q23)</f>
        <v>1.112761275012808E-5</v>
      </c>
    </row>
    <row r="24" spans="1:18" x14ac:dyDescent="0.25">
      <c r="A24" t="s">
        <v>6</v>
      </c>
      <c r="B24" s="51">
        <f>Marginals!$K$12</f>
        <v>0.41666666666666669</v>
      </c>
      <c r="C24" s="51">
        <f>SUMIF($A$3:$A$20,$A24,$D$3:$D$20)</f>
        <v>0.44000034129355781</v>
      </c>
      <c r="D24">
        <f>$B24/C24</f>
        <v>0.94696896243695539</v>
      </c>
      <c r="E24">
        <f>SUMIF($A$3:$A$20,$A24,$G$3:$G$20)</f>
        <v>0.44744135505015409</v>
      </c>
      <c r="F24" s="51">
        <f>ABS($B24-E24)</f>
        <v>3.0774688383487403E-2</v>
      </c>
      <c r="G24" s="51">
        <f>SUMIF($A$3:$A$20,$A24,$G$3:$G$20)</f>
        <v>0.44744135505015409</v>
      </c>
      <c r="H24">
        <f>$B24/G24</f>
        <v>0.93122073309464692</v>
      </c>
      <c r="I24">
        <f>SUMIF($A$3:$A$20,$A24,$J$3:$J$20)</f>
        <v>0.42106653736337768</v>
      </c>
      <c r="J24" s="51">
        <f>ABS($B24-I24)</f>
        <v>4.3998706967109946E-3</v>
      </c>
      <c r="K24" s="51">
        <f>SUMIF($A$3:$A$20,$A24,$J$3:$J$20)</f>
        <v>0.42106653736337768</v>
      </c>
      <c r="L24">
        <f>$B24/K24</f>
        <v>0.98955065219795912</v>
      </c>
      <c r="M24">
        <f>SUMIF($A$3:$A$20,$A24,$M$3:$M$20)</f>
        <v>0.41686982142598417</v>
      </c>
      <c r="N24" s="51">
        <f>ABS($B24-M24)</f>
        <v>2.0315475931748095E-4</v>
      </c>
      <c r="O24" s="51">
        <f>SUMIF($A$3:$A$20,$A24,$M$3:$M$20)</f>
        <v>0.41686982142598417</v>
      </c>
      <c r="P24">
        <f>$B24/O24</f>
        <v>0.99951266618767809</v>
      </c>
      <c r="Q24">
        <f>SUMIF($A$3:$A$20,$A24,$P$3:$P$20)</f>
        <v>0.41667779427941681</v>
      </c>
      <c r="R24" s="51">
        <f>ABS($B24-Q24)</f>
        <v>1.112761275012808E-5</v>
      </c>
    </row>
    <row r="25" spans="1:18" x14ac:dyDescent="0.25">
      <c r="E25" s="45" t="s">
        <v>52</v>
      </c>
      <c r="F25" s="64">
        <f>MAX(F23:F24)</f>
        <v>3.0774688383487403E-2</v>
      </c>
      <c r="I25" s="45" t="s">
        <v>52</v>
      </c>
      <c r="J25" s="64">
        <f>MAX(J23:J24)</f>
        <v>4.3998706967109946E-3</v>
      </c>
      <c r="M25" s="45" t="s">
        <v>52</v>
      </c>
      <c r="N25" s="64">
        <f>MAX(N23:N24)</f>
        <v>2.0315475931753646E-4</v>
      </c>
      <c r="Q25" s="45" t="s">
        <v>52</v>
      </c>
      <c r="R25" s="64">
        <f>MAX(R23:R24)</f>
        <v>1.112761275012808E-5</v>
      </c>
    </row>
    <row r="27" spans="1:18" x14ac:dyDescent="0.25">
      <c r="A27" t="s">
        <v>13</v>
      </c>
      <c r="B27" s="51" t="s">
        <v>48</v>
      </c>
      <c r="C27" s="51" t="s">
        <v>36</v>
      </c>
      <c r="D27" t="s">
        <v>38</v>
      </c>
      <c r="E27" t="s">
        <v>43</v>
      </c>
      <c r="F27" s="51" t="s">
        <v>44</v>
      </c>
      <c r="G27" s="51" t="s">
        <v>36</v>
      </c>
      <c r="H27" t="s">
        <v>38</v>
      </c>
      <c r="I27" t="s">
        <v>46</v>
      </c>
      <c r="J27" t="s">
        <v>44</v>
      </c>
      <c r="K27" s="51" t="s">
        <v>36</v>
      </c>
      <c r="L27" t="s">
        <v>38</v>
      </c>
      <c r="M27" t="s">
        <v>47</v>
      </c>
      <c r="N27" t="s">
        <v>44</v>
      </c>
      <c r="O27" s="51" t="s">
        <v>36</v>
      </c>
      <c r="P27" t="s">
        <v>38</v>
      </c>
      <c r="Q27" t="s">
        <v>53</v>
      </c>
      <c r="R27" t="s">
        <v>44</v>
      </c>
    </row>
    <row r="28" spans="1:18" x14ac:dyDescent="0.25">
      <c r="A28" t="s">
        <v>10</v>
      </c>
      <c r="B28" s="51">
        <f>Marginals!$J$19</f>
        <v>0.36470588235294116</v>
      </c>
      <c r="C28" s="51">
        <f>SUMIF($B$3:$B$20,$A28,$E$3:$E$20)</f>
        <v>0.29829783580052815</v>
      </c>
      <c r="D28">
        <f>$B28/C28</f>
        <v>1.2226232931734042</v>
      </c>
      <c r="E28" s="51">
        <f>SUMIF($B$3:$B$20,$A28,$G$3:$G$20)</f>
        <v>0.32045582538725687</v>
      </c>
      <c r="F28" s="51">
        <f t="shared" ref="F28:F30" si="89">ABS($B28-E28)</f>
        <v>4.4250056965684292E-2</v>
      </c>
      <c r="G28" s="51">
        <f>SUMIF($B$3:$B$20,$A28,$H$3:$H$20)</f>
        <v>0.3180773315145432</v>
      </c>
      <c r="H28">
        <f>$B28/G28</f>
        <v>1.1465950139117851</v>
      </c>
      <c r="I28" s="51">
        <f>SUMIF($B$3:$B$20,$A28,$J$3:$J$20)</f>
        <v>0.36311639654610128</v>
      </c>
      <c r="J28" s="51">
        <f t="shared" ref="J28:J30" si="90">ABS($B28-I28)</f>
        <v>1.5894858068398743E-3</v>
      </c>
      <c r="K28" s="51">
        <f>SUMIF($B$3:$B$20,$A28,$K$3:$K$20)</f>
        <v>0.36275104769843169</v>
      </c>
      <c r="L28">
        <f>$B28/K28</f>
        <v>1.0053889152544491</v>
      </c>
      <c r="M28" s="51">
        <f>SUMIF($B$3:$B$20,$A28,$M$3:$M$20)</f>
        <v>0.36461342446762479</v>
      </c>
      <c r="N28" s="51">
        <f t="shared" ref="N28:N30" si="91">ABS($B28-M28)</f>
        <v>9.2457885316366006E-5</v>
      </c>
      <c r="O28" s="51">
        <f>SUMIF($B$3:$B$20,$A28,$N$3:$N$20)</f>
        <v>0.36459651335794513</v>
      </c>
      <c r="P28">
        <f>$B28/O28</f>
        <v>1.0002999726848421</v>
      </c>
      <c r="Q28" s="51">
        <f>SUMIF($B$3:$B$20,$A28,$P$3:$P$20)</f>
        <v>0.36470110954714868</v>
      </c>
      <c r="R28" s="51">
        <f t="shared" ref="R28:R30" si="92">ABS($B28-Q28)</f>
        <v>4.7728057924745215E-6</v>
      </c>
    </row>
    <row r="29" spans="1:18" x14ac:dyDescent="0.25">
      <c r="A29" t="s">
        <v>11</v>
      </c>
      <c r="B29" s="51">
        <f>Marginals!$K$19</f>
        <v>0.4</v>
      </c>
      <c r="C29" s="51">
        <f t="shared" ref="C29:G30" si="93">SUMIF($B$3:$B$20,$A29,$E$3:$E$20)</f>
        <v>0.42140149497403845</v>
      </c>
      <c r="D29">
        <f>$B29/C29</f>
        <v>0.94921352859615049</v>
      </c>
      <c r="E29" s="51">
        <f t="shared" ref="E29:E30" si="94">SUMIF($B$3:$B$20,$A29,$G$3:$G$20)</f>
        <v>0.40372055255143746</v>
      </c>
      <c r="F29" s="51">
        <f t="shared" si="89"/>
        <v>3.7205525514374393E-3</v>
      </c>
      <c r="G29" s="51">
        <f t="shared" ref="G29:G30" si="95">SUMIF($B$3:$B$20,$A29,$H$3:$H$20)</f>
        <v>0.40557231558681112</v>
      </c>
      <c r="H29">
        <f>$B29/G29</f>
        <v>0.98626061155395017</v>
      </c>
      <c r="I29" s="51">
        <f t="shared" ref="I29:I30" si="96">SUMIF($B$3:$B$20,$A29,$J$3:$J$20)</f>
        <v>0.40018564573458848</v>
      </c>
      <c r="J29" s="51">
        <f t="shared" si="90"/>
        <v>1.8564573458845768E-4</v>
      </c>
      <c r="K29" s="51">
        <f t="shared" ref="K29:K30" si="97">SUMIF($B$3:$B$20,$A29,$K$3:$K$20)</f>
        <v>0.40047130349190907</v>
      </c>
      <c r="L29">
        <f>$B29/K29</f>
        <v>0.99882312793001771</v>
      </c>
      <c r="M29" s="51">
        <f t="shared" ref="M29:M30" si="98">SUMIF($B$3:$B$20,$A29,$M$3:$M$20)</f>
        <v>0.40001188367433427</v>
      </c>
      <c r="N29" s="51">
        <f t="shared" si="91"/>
        <v>1.188367433424542E-5</v>
      </c>
      <c r="O29" s="51">
        <f t="shared" ref="O29:O30" si="99">SUMIF($B$3:$B$20,$A29,$N$3:$N$20)</f>
        <v>0.40002510656515711</v>
      </c>
      <c r="P29">
        <f>$B29/O29</f>
        <v>0.99993723752648267</v>
      </c>
      <c r="Q29" s="51">
        <f t="shared" ref="Q29:Q30" si="100">SUMIF($B$3:$B$20,$A29,$P$3:$P$20)</f>
        <v>0.40000060583098862</v>
      </c>
      <c r="R29" s="51">
        <f t="shared" si="92"/>
        <v>6.0583098859812168E-7</v>
      </c>
    </row>
    <row r="30" spans="1:18" x14ac:dyDescent="0.25">
      <c r="A30" t="s">
        <v>12</v>
      </c>
      <c r="B30" s="51">
        <f>Marginals!$L$19</f>
        <v>0.23529411764705882</v>
      </c>
      <c r="C30" s="51">
        <f t="shared" si="93"/>
        <v>0.28030066922543329</v>
      </c>
      <c r="D30">
        <f>$B30/C30</f>
        <v>0.8394347337709076</v>
      </c>
      <c r="E30" s="51">
        <f t="shared" si="94"/>
        <v>0.27582362206130573</v>
      </c>
      <c r="F30" s="51">
        <f t="shared" si="89"/>
        <v>4.0529504414246909E-2</v>
      </c>
      <c r="G30" s="51">
        <f t="shared" si="95"/>
        <v>0.27635035289864573</v>
      </c>
      <c r="H30">
        <f>$B30/G30</f>
        <v>0.85143411317934992</v>
      </c>
      <c r="I30" s="51">
        <f t="shared" si="96"/>
        <v>0.23669795771931051</v>
      </c>
      <c r="J30" s="51">
        <f t="shared" si="90"/>
        <v>1.4038400722516942E-3</v>
      </c>
      <c r="K30" s="51">
        <f t="shared" si="97"/>
        <v>0.23677764880965915</v>
      </c>
      <c r="L30">
        <f>$B30/K30</f>
        <v>0.99373449660447932</v>
      </c>
      <c r="M30" s="51">
        <f t="shared" si="98"/>
        <v>0.23537469185804097</v>
      </c>
      <c r="N30" s="51">
        <f t="shared" si="91"/>
        <v>8.0574210982148342E-5</v>
      </c>
      <c r="O30" s="51">
        <f t="shared" si="99"/>
        <v>0.23537838007689788</v>
      </c>
      <c r="P30">
        <f>$B30/O30</f>
        <v>0.99964201287386067</v>
      </c>
      <c r="Q30" s="51">
        <f t="shared" si="100"/>
        <v>0.23529828462186261</v>
      </c>
      <c r="R30" s="51">
        <f t="shared" si="92"/>
        <v>4.1669748037931331E-6</v>
      </c>
    </row>
    <row r="31" spans="1:18" x14ac:dyDescent="0.25">
      <c r="E31" s="45" t="s">
        <v>52</v>
      </c>
      <c r="F31" s="64">
        <f>MAX(F28:F30)</f>
        <v>4.4250056965684292E-2</v>
      </c>
      <c r="I31" s="45" t="s">
        <v>52</v>
      </c>
      <c r="J31" s="64">
        <f>MAX(J28:J30)</f>
        <v>1.5894858068398743E-3</v>
      </c>
      <c r="M31" s="45" t="s">
        <v>52</v>
      </c>
      <c r="N31" s="64">
        <f>MAX(N28:N30)</f>
        <v>9.2457885316366006E-5</v>
      </c>
      <c r="Q31" s="45" t="s">
        <v>52</v>
      </c>
      <c r="R31" s="64">
        <f>MAX(R28:R30)</f>
        <v>4.7728057924745215E-6</v>
      </c>
    </row>
    <row r="33" spans="1:18" x14ac:dyDescent="0.25">
      <c r="A33" t="s">
        <v>17</v>
      </c>
      <c r="B33" s="51" t="s">
        <v>48</v>
      </c>
      <c r="C33" s="51" t="s">
        <v>36</v>
      </c>
      <c r="D33" t="s">
        <v>38</v>
      </c>
      <c r="E33" t="s">
        <v>43</v>
      </c>
      <c r="F33" s="51" t="s">
        <v>44</v>
      </c>
      <c r="G33" s="51" t="s">
        <v>36</v>
      </c>
      <c r="H33" t="s">
        <v>38</v>
      </c>
      <c r="I33" t="s">
        <v>46</v>
      </c>
      <c r="J33" t="s">
        <v>44</v>
      </c>
      <c r="K33" s="51" t="s">
        <v>36</v>
      </c>
      <c r="L33" t="s">
        <v>38</v>
      </c>
      <c r="M33" t="s">
        <v>47</v>
      </c>
      <c r="N33" t="s">
        <v>44</v>
      </c>
      <c r="O33" s="51" t="s">
        <v>36</v>
      </c>
      <c r="P33" t="s">
        <v>38</v>
      </c>
      <c r="Q33" t="s">
        <v>53</v>
      </c>
      <c r="R33" t="s">
        <v>44</v>
      </c>
    </row>
    <row r="34" spans="1:18" x14ac:dyDescent="0.25">
      <c r="A34" t="s">
        <v>14</v>
      </c>
      <c r="B34" s="51">
        <f>Marginals!$J$26</f>
        <v>0.21686746987951808</v>
      </c>
      <c r="C34" s="51">
        <f>SUMIF($C$3:$C$20,$A34,$F$3:$F$20)</f>
        <v>0.51335386802303207</v>
      </c>
      <c r="D34">
        <f>$B34/C34</f>
        <v>0.42245219796374095</v>
      </c>
      <c r="E34" s="51">
        <f>SUMIF($C$3:$C$20,$A34,$G$3:$G$20)</f>
        <v>0.21686746987951813</v>
      </c>
      <c r="F34" s="51">
        <f>ABS($B34-E34)</f>
        <v>5.5511151231257827E-17</v>
      </c>
      <c r="G34" s="51">
        <f>SUMIF($C$3:$C$20,$A34,$I$3:$I$20)</f>
        <v>0.22510528610223279</v>
      </c>
      <c r="H34">
        <f>$B34/G34</f>
        <v>0.96340460783771431</v>
      </c>
      <c r="I34" s="51">
        <f>SUMIF($C$3:$C$20,$A34,$J$3:$J$20)</f>
        <v>0.2168674698795181</v>
      </c>
      <c r="J34" s="51">
        <f>ABS($B34-I34)</f>
        <v>2.7755575615628914E-17</v>
      </c>
      <c r="K34" s="51">
        <f>SUMIF($C$3:$C$20,$A34,$L$3:$L$20)</f>
        <v>0.21736149666821666</v>
      </c>
      <c r="L34">
        <f>$B34/K34</f>
        <v>0.99772716513149207</v>
      </c>
      <c r="M34" s="51">
        <f>SUMIF($C$3:$C$20,$A34,$M$3:$M$20)</f>
        <v>0.21686746987951805</v>
      </c>
      <c r="N34" s="51">
        <f>ABS($B34-M34)</f>
        <v>2.7755575615628914E-17</v>
      </c>
      <c r="O34" s="51">
        <f>SUMIF($C$3:$C$20,$A34,$O$3:$O$20)</f>
        <v>0.2168927964307806</v>
      </c>
      <c r="P34">
        <f>$B34/O34</f>
        <v>0.99988323009487035</v>
      </c>
      <c r="Q34" s="51">
        <f>SUMIF($C$3:$C$20,$A34,$P$3:$P$20)</f>
        <v>0.21686746987951808</v>
      </c>
      <c r="R34" s="51">
        <f>ABS($B34-Q34)</f>
        <v>0</v>
      </c>
    </row>
    <row r="35" spans="1:18" x14ac:dyDescent="0.25">
      <c r="A35" t="s">
        <v>15</v>
      </c>
      <c r="B35" s="51">
        <f>Marginals!$K$26</f>
        <v>0.39759036144578314</v>
      </c>
      <c r="C35" s="51">
        <f t="shared" ref="C35:I36" si="101">SUMIF($C$3:$C$20,$A35,$F$3:$F$20)</f>
        <v>0.2958345226822795</v>
      </c>
      <c r="D35">
        <f>$B35/C35</f>
        <v>1.3439620157948484</v>
      </c>
      <c r="E35" s="51">
        <f t="shared" ref="E35:E36" si="102">SUMIF($C$3:$C$20,$A35,$G$3:$G$20)</f>
        <v>0.39759036144578314</v>
      </c>
      <c r="F35" s="51">
        <f t="shared" ref="F35:F36" si="103">ABS($B35-E35)</f>
        <v>0</v>
      </c>
      <c r="G35" s="51">
        <f t="shared" ref="G35:G36" si="104">SUMIF($C$3:$C$20,$A35,$I$3:$I$20)</f>
        <v>0.3990155122900696</v>
      </c>
      <c r="H35">
        <f>$B35/G35</f>
        <v>0.99642833223172933</v>
      </c>
      <c r="I35" s="51">
        <f t="shared" ref="I35:I36" si="105">SUMIF($C$3:$C$20,$A35,$J$3:$J$20)</f>
        <v>0.39759036144578319</v>
      </c>
      <c r="J35" s="51">
        <f t="shared" ref="J35:J36" si="106">ABS($B35-I35)</f>
        <v>5.5511151231257827E-17</v>
      </c>
      <c r="K35" s="51">
        <f t="shared" ref="K35:K36" si="107">SUMIF($C$3:$C$20,$A35,$L$3:$L$20)</f>
        <v>0.39763798440101827</v>
      </c>
      <c r="L35">
        <f>$B35/K35</f>
        <v>0.99988023539726245</v>
      </c>
      <c r="M35" s="51">
        <f t="shared" ref="M35:M36" si="108">SUMIF($C$3:$C$20,$A35,$M$3:$M$20)</f>
        <v>0.39759036144578308</v>
      </c>
      <c r="N35" s="51">
        <f t="shared" ref="N35:N36" si="109">ABS($B35-M35)</f>
        <v>5.5511151231257827E-17</v>
      </c>
      <c r="O35" s="51">
        <f t="shared" ref="O35:O36" si="110">SUMIF($C$3:$C$20,$A35,$O$3:$O$20)</f>
        <v>0.39759322455805129</v>
      </c>
      <c r="P35">
        <f>$B35/O35</f>
        <v>0.99999279889069703</v>
      </c>
      <c r="Q35" s="51">
        <f t="shared" ref="Q35:Q36" si="111">SUMIF($C$3:$C$20,$A35,$P$3:$P$20)</f>
        <v>0.39759036144578314</v>
      </c>
      <c r="R35" s="51">
        <f t="shared" ref="R35:R36" si="112">ABS($B35-Q35)</f>
        <v>0</v>
      </c>
    </row>
    <row r="36" spans="1:18" x14ac:dyDescent="0.25">
      <c r="A36" t="s">
        <v>16</v>
      </c>
      <c r="B36" s="51">
        <f>Marginals!$L$26</f>
        <v>0.38554216867469882</v>
      </c>
      <c r="C36" s="51">
        <f t="shared" si="101"/>
        <v>0.19081160929468843</v>
      </c>
      <c r="D36">
        <f>$B36/C36</f>
        <v>2.020538321016252</v>
      </c>
      <c r="E36" s="51">
        <f t="shared" si="102"/>
        <v>0.38554216867469887</v>
      </c>
      <c r="F36" s="51">
        <f t="shared" si="103"/>
        <v>5.5511151231257827E-17</v>
      </c>
      <c r="G36" s="51">
        <f t="shared" si="104"/>
        <v>0.3758792016076975</v>
      </c>
      <c r="H36">
        <f>$B36/G36</f>
        <v>1.025707639650375</v>
      </c>
      <c r="I36" s="51">
        <f t="shared" si="105"/>
        <v>0.38554216867469887</v>
      </c>
      <c r="J36" s="51">
        <f t="shared" si="106"/>
        <v>5.5511151231257827E-17</v>
      </c>
      <c r="K36" s="51">
        <f t="shared" si="107"/>
        <v>0.38500051893076515</v>
      </c>
      <c r="L36">
        <f>$B36/K36</f>
        <v>1.0014068805554808</v>
      </c>
      <c r="M36" s="51">
        <f t="shared" si="108"/>
        <v>0.38554216867469882</v>
      </c>
      <c r="N36" s="51">
        <f t="shared" si="109"/>
        <v>0</v>
      </c>
      <c r="O36" s="51">
        <f t="shared" si="110"/>
        <v>0.38551397901116813</v>
      </c>
      <c r="P36">
        <f>$B36/O36</f>
        <v>1.0000731222862604</v>
      </c>
      <c r="Q36" s="51">
        <f t="shared" si="111"/>
        <v>0.3855421686746987</v>
      </c>
      <c r="R36" s="51">
        <f t="shared" si="112"/>
        <v>1.1102230246251565E-16</v>
      </c>
    </row>
    <row r="37" spans="1:18" x14ac:dyDescent="0.25">
      <c r="E37" s="45" t="s">
        <v>52</v>
      </c>
      <c r="F37" s="64">
        <f>MAX(F34:F36)</f>
        <v>5.5511151231257827E-17</v>
      </c>
      <c r="I37" s="45" t="s">
        <v>52</v>
      </c>
      <c r="J37" s="64">
        <f>MAX(J34:J36)</f>
        <v>5.5511151231257827E-17</v>
      </c>
      <c r="M37" s="45" t="s">
        <v>52</v>
      </c>
      <c r="N37" s="64">
        <f>MAX(N34:N36)</f>
        <v>5.5511151231257827E-17</v>
      </c>
      <c r="Q37" s="45" t="s">
        <v>52</v>
      </c>
      <c r="R37" s="64">
        <f>MAX(R34:R36)</f>
        <v>1.1102230246251565E-16</v>
      </c>
    </row>
    <row r="39" spans="1:18" x14ac:dyDescent="0.25">
      <c r="E39" s="45" t="s">
        <v>52</v>
      </c>
      <c r="F39" s="64">
        <f>MAX(F25,F31,F37)</f>
        <v>4.4250056965684292E-2</v>
      </c>
      <c r="I39" s="45" t="s">
        <v>52</v>
      </c>
      <c r="J39" s="46">
        <f>MAX(J25,J31,J37)</f>
        <v>4.3998706967109946E-3</v>
      </c>
      <c r="M39" s="45" t="s">
        <v>52</v>
      </c>
      <c r="N39" s="46">
        <f>MAX(N25,N31,N37)</f>
        <v>2.0315475931753646E-4</v>
      </c>
      <c r="Q39" s="45" t="s">
        <v>52</v>
      </c>
      <c r="R39" s="64">
        <f>MAX(R25,R31,R37)</f>
        <v>1.112761275012808E-5</v>
      </c>
    </row>
  </sheetData>
  <mergeCells count="4">
    <mergeCell ref="E1:G1"/>
    <mergeCell ref="H1:J1"/>
    <mergeCell ref="K1:M1"/>
    <mergeCell ref="N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4DFB-A8AF-48A9-9474-394C3BCBF9B8}">
  <dimension ref="A1:R56"/>
  <sheetViews>
    <sheetView tabSelected="1" workbookViewId="0">
      <selection activeCell="P10" sqref="P10"/>
    </sheetView>
  </sheetViews>
  <sheetFormatPr defaultRowHeight="15" x14ac:dyDescent="0.25"/>
  <cols>
    <col min="12" max="12" width="13.42578125" bestFit="1" customWidth="1"/>
    <col min="13" max="13" width="16.85546875" bestFit="1" customWidth="1"/>
    <col min="14" max="14" width="9.28515625" bestFit="1" customWidth="1"/>
    <col min="15" max="17" width="7.28515625" bestFit="1" customWidth="1"/>
    <col min="18" max="18" width="11.28515625" bestFit="1" customWidth="1"/>
  </cols>
  <sheetData>
    <row r="1" spans="1:18" x14ac:dyDescent="0.25">
      <c r="A1" s="6" t="s">
        <v>54</v>
      </c>
    </row>
    <row r="2" spans="1:18" x14ac:dyDescent="0.25">
      <c r="A2" t="s">
        <v>0</v>
      </c>
      <c r="B2" t="s">
        <v>18</v>
      </c>
      <c r="C2" t="s">
        <v>19</v>
      </c>
      <c r="D2" t="s">
        <v>21</v>
      </c>
      <c r="E2" t="s">
        <v>56</v>
      </c>
      <c r="F2" t="s">
        <v>55</v>
      </c>
      <c r="L2" s="66" t="s">
        <v>58</v>
      </c>
      <c r="O2" s="66" t="s">
        <v>0</v>
      </c>
    </row>
    <row r="3" spans="1:18" x14ac:dyDescent="0.25">
      <c r="A3" t="s">
        <v>3</v>
      </c>
      <c r="B3" t="s">
        <v>5</v>
      </c>
      <c r="C3" t="s">
        <v>10</v>
      </c>
      <c r="D3" t="s">
        <v>14</v>
      </c>
      <c r="E3">
        <f>'Local Fitting A'!P3</f>
        <v>4.1087998529227142E-2</v>
      </c>
      <c r="F3" s="65">
        <f>E3*Marginals!$B$3</f>
        <v>3.2870398823381715</v>
      </c>
      <c r="L3" s="66" t="s">
        <v>18</v>
      </c>
      <c r="M3" s="66" t="s">
        <v>19</v>
      </c>
      <c r="N3" s="66" t="s">
        <v>21</v>
      </c>
      <c r="O3" t="s">
        <v>3</v>
      </c>
      <c r="P3" t="s">
        <v>1</v>
      </c>
      <c r="Q3" t="s">
        <v>2</v>
      </c>
      <c r="R3" t="s">
        <v>57</v>
      </c>
    </row>
    <row r="4" spans="1:18" x14ac:dyDescent="0.25">
      <c r="A4" t="s">
        <v>3</v>
      </c>
      <c r="B4" t="s">
        <v>5</v>
      </c>
      <c r="C4" t="s">
        <v>10</v>
      </c>
      <c r="D4" t="s">
        <v>15</v>
      </c>
      <c r="E4">
        <f>'Local Fitting A'!P4</f>
        <v>4.8795644486770033E-2</v>
      </c>
      <c r="F4" s="65">
        <f>E4*Marginals!$B$3</f>
        <v>3.9036515589416028</v>
      </c>
      <c r="L4" t="s">
        <v>5</v>
      </c>
      <c r="M4" t="s">
        <v>10</v>
      </c>
      <c r="N4" t="s">
        <v>15</v>
      </c>
      <c r="O4" s="65">
        <v>3.9036515589416028</v>
      </c>
      <c r="P4" s="65">
        <v>5.1069204536072101</v>
      </c>
      <c r="Q4" s="65">
        <v>6.4503429122213003</v>
      </c>
      <c r="R4" s="65">
        <v>15.460914924770114</v>
      </c>
    </row>
    <row r="5" spans="1:18" x14ac:dyDescent="0.25">
      <c r="A5" t="s">
        <v>3</v>
      </c>
      <c r="B5" t="s">
        <v>5</v>
      </c>
      <c r="C5" t="s">
        <v>10</v>
      </c>
      <c r="D5" t="s">
        <v>16</v>
      </c>
      <c r="E5">
        <f>'Local Fitting A'!P5</f>
        <v>3.646379225194487E-2</v>
      </c>
      <c r="F5" s="65">
        <f>E5*Marginals!$B$3</f>
        <v>2.9171033801555897</v>
      </c>
      <c r="N5" t="s">
        <v>14</v>
      </c>
      <c r="O5" s="65">
        <v>3.2870398823381715</v>
      </c>
      <c r="P5" s="65">
        <v>3.7957041833346716</v>
      </c>
      <c r="Q5" s="65">
        <v>5.1449892373458344</v>
      </c>
      <c r="R5" s="65">
        <v>12.227733303018677</v>
      </c>
    </row>
    <row r="6" spans="1:18" x14ac:dyDescent="0.25">
      <c r="A6" t="s">
        <v>3</v>
      </c>
      <c r="B6" t="s">
        <v>5</v>
      </c>
      <c r="C6" t="s">
        <v>11</v>
      </c>
      <c r="D6" t="s">
        <v>14</v>
      </c>
      <c r="E6">
        <f>'Local Fitting A'!P6</f>
        <v>5.4086660102995184E-2</v>
      </c>
      <c r="F6" s="65">
        <f>E6*Marginals!$B$3</f>
        <v>4.326932808239615</v>
      </c>
      <c r="N6" t="s">
        <v>16</v>
      </c>
      <c r="O6" s="65">
        <v>2.9171033801555897</v>
      </c>
      <c r="P6" s="65">
        <v>3.782379220081137</v>
      </c>
      <c r="Q6" s="65">
        <v>4.5748991369184031</v>
      </c>
      <c r="R6" s="65">
        <v>11.27438173715513</v>
      </c>
    </row>
    <row r="7" spans="1:18" x14ac:dyDescent="0.25">
      <c r="A7" t="s">
        <v>3</v>
      </c>
      <c r="B7" t="s">
        <v>5</v>
      </c>
      <c r="C7" t="s">
        <v>11</v>
      </c>
      <c r="D7" t="s">
        <v>15</v>
      </c>
      <c r="E7">
        <f>'Local Fitting A'!P7</f>
        <v>9.2452809060635244E-2</v>
      </c>
      <c r="F7" s="65">
        <f>E7*Marginals!$B$3</f>
        <v>7.3962247248508195</v>
      </c>
      <c r="M7" t="s">
        <v>61</v>
      </c>
      <c r="O7" s="65">
        <v>10.107794821435364</v>
      </c>
      <c r="P7" s="65">
        <v>12.68500385702302</v>
      </c>
      <c r="Q7" s="65">
        <v>16.170231286485539</v>
      </c>
      <c r="R7" s="65">
        <v>38.963029964943921</v>
      </c>
    </row>
    <row r="8" spans="1:18" x14ac:dyDescent="0.25">
      <c r="A8" t="s">
        <v>3</v>
      </c>
      <c r="B8" t="s">
        <v>5</v>
      </c>
      <c r="C8" t="s">
        <v>11</v>
      </c>
      <c r="D8" t="s">
        <v>16</v>
      </c>
      <c r="E8">
        <f>'Local Fitting A'!P8</f>
        <v>8.6479948829307235E-2</v>
      </c>
      <c r="F8" s="65">
        <f>E8*Marginals!$B$3</f>
        <v>6.9183959063445783</v>
      </c>
      <c r="M8" t="s">
        <v>11</v>
      </c>
      <c r="N8" t="s">
        <v>15</v>
      </c>
      <c r="O8" s="65">
        <v>7.3962247248508195</v>
      </c>
      <c r="P8" s="65">
        <v>6.1770065750949215</v>
      </c>
      <c r="Q8" s="65">
        <v>8.5704664578241925</v>
      </c>
      <c r="R8" s="65">
        <v>22.143697757769935</v>
      </c>
    </row>
    <row r="9" spans="1:18" x14ac:dyDescent="0.25">
      <c r="A9" t="s">
        <v>3</v>
      </c>
      <c r="B9" t="s">
        <v>5</v>
      </c>
      <c r="C9" t="s">
        <v>12</v>
      </c>
      <c r="D9" t="s">
        <v>14</v>
      </c>
      <c r="E9">
        <f>'Local Fitting A'!P9</f>
        <v>3.3448284385903575E-2</v>
      </c>
      <c r="F9" s="65">
        <f>E9*Marginals!$B$3</f>
        <v>2.6758627508722861</v>
      </c>
      <c r="N9" t="s">
        <v>14</v>
      </c>
      <c r="O9" s="65">
        <v>4.326932808239615</v>
      </c>
      <c r="P9" s="65">
        <v>3.1896824869434943</v>
      </c>
      <c r="Q9" s="65">
        <v>4.7494383209127253</v>
      </c>
      <c r="R9" s="65">
        <v>12.266053616095835</v>
      </c>
    </row>
    <row r="10" spans="1:18" x14ac:dyDescent="0.25">
      <c r="A10" t="s">
        <v>3</v>
      </c>
      <c r="B10" t="s">
        <v>5</v>
      </c>
      <c r="C10" t="s">
        <v>12</v>
      </c>
      <c r="D10" t="s">
        <v>15</v>
      </c>
      <c r="E10">
        <f>'Local Fitting A'!P10</f>
        <v>7.5282168503553154E-2</v>
      </c>
      <c r="F10" s="65">
        <f>E10*Marginals!$B$3</f>
        <v>6.0225734802842528</v>
      </c>
      <c r="N10" t="s">
        <v>16</v>
      </c>
      <c r="O10" s="65">
        <v>6.9183959063445783</v>
      </c>
      <c r="P10" s="65">
        <v>5.7266227870163098</v>
      </c>
      <c r="Q10" s="65">
        <v>7.6088271402163246</v>
      </c>
      <c r="R10" s="65">
        <v>20.253845833577213</v>
      </c>
    </row>
    <row r="11" spans="1:18" x14ac:dyDescent="0.25">
      <c r="A11" t="s">
        <v>3</v>
      </c>
      <c r="B11" t="s">
        <v>5</v>
      </c>
      <c r="C11" t="s">
        <v>12</v>
      </c>
      <c r="D11" t="s">
        <v>16</v>
      </c>
      <c r="E11">
        <f>'Local Fitting A'!P11</f>
        <v>0.10151420491824679</v>
      </c>
      <c r="F11" s="65">
        <f>E11*Marginals!$B$3</f>
        <v>8.1211363934597429</v>
      </c>
      <c r="M11" t="s">
        <v>59</v>
      </c>
      <c r="O11" s="65">
        <v>18.641553439435015</v>
      </c>
      <c r="P11" s="65">
        <v>15.093311849054725</v>
      </c>
      <c r="Q11" s="65">
        <v>20.928731918953243</v>
      </c>
      <c r="R11" s="65">
        <v>54.66359720744299</v>
      </c>
    </row>
    <row r="12" spans="1:18" x14ac:dyDescent="0.25">
      <c r="A12" t="s">
        <v>3</v>
      </c>
      <c r="B12" t="s">
        <v>6</v>
      </c>
      <c r="C12" t="s">
        <v>10</v>
      </c>
      <c r="D12" t="s">
        <v>14</v>
      </c>
      <c r="E12">
        <f>'Local Fitting A'!P12</f>
        <v>3.0611357068432848E-2</v>
      </c>
      <c r="F12" s="65">
        <f>E12*Marginals!$B$3</f>
        <v>2.4489085654746279</v>
      </c>
      <c r="M12" t="s">
        <v>12</v>
      </c>
      <c r="N12" t="s">
        <v>15</v>
      </c>
      <c r="O12" s="65">
        <v>6.0225734802842528</v>
      </c>
      <c r="P12" s="65">
        <v>4.2722276973540341</v>
      </c>
      <c r="Q12" s="65">
        <v>4.4062987593235556</v>
      </c>
      <c r="R12" s="65">
        <v>14.701099936961842</v>
      </c>
    </row>
    <row r="13" spans="1:18" x14ac:dyDescent="0.25">
      <c r="A13" t="s">
        <v>3</v>
      </c>
      <c r="B13" t="s">
        <v>6</v>
      </c>
      <c r="C13" t="s">
        <v>10</v>
      </c>
      <c r="D13" t="s">
        <v>15</v>
      </c>
      <c r="E13">
        <f>'Local Fitting A'!P13</f>
        <v>4.9610716730661093E-2</v>
      </c>
      <c r="F13" s="65">
        <f>E13*Marginals!$B$3</f>
        <v>3.9688573384528874</v>
      </c>
      <c r="N13" t="s">
        <v>14</v>
      </c>
      <c r="O13" s="65">
        <v>2.6758627508722861</v>
      </c>
      <c r="P13" s="65">
        <v>1.6754653669581299</v>
      </c>
      <c r="Q13" s="65">
        <v>1.8544853472499883</v>
      </c>
      <c r="R13" s="65">
        <v>6.2058134650804044</v>
      </c>
    </row>
    <row r="14" spans="1:18" x14ac:dyDescent="0.25">
      <c r="A14" t="s">
        <v>3</v>
      </c>
      <c r="B14" t="s">
        <v>6</v>
      </c>
      <c r="C14" t="s">
        <v>10</v>
      </c>
      <c r="D14" t="s">
        <v>16</v>
      </c>
      <c r="E14">
        <f>'Local Fitting A'!P14</f>
        <v>4.3426559195883181E-2</v>
      </c>
      <c r="F14" s="65">
        <f>E14*Marginals!$B$3</f>
        <v>3.4741247356706544</v>
      </c>
      <c r="N14" t="s">
        <v>16</v>
      </c>
      <c r="O14" s="65">
        <v>8.1211363934597429</v>
      </c>
      <c r="P14" s="65">
        <v>5.7097131321697301</v>
      </c>
      <c r="Q14" s="65">
        <v>5.6393179685166661</v>
      </c>
      <c r="R14" s="65">
        <v>19.470167494146139</v>
      </c>
    </row>
    <row r="15" spans="1:18" x14ac:dyDescent="0.25">
      <c r="A15" t="s">
        <v>3</v>
      </c>
      <c r="B15" t="s">
        <v>6</v>
      </c>
      <c r="C15" t="s">
        <v>11</v>
      </c>
      <c r="D15" t="s">
        <v>14</v>
      </c>
      <c r="E15">
        <f>'Local Fitting A'!P15</f>
        <v>2.6233558373109939E-2</v>
      </c>
      <c r="F15" s="65">
        <f>E15*Marginals!$B$3</f>
        <v>2.0986846698487951</v>
      </c>
      <c r="M15" t="s">
        <v>60</v>
      </c>
      <c r="O15" s="65">
        <v>16.819572624616281</v>
      </c>
      <c r="P15" s="65">
        <v>11.657406196481894</v>
      </c>
      <c r="Q15" s="65">
        <v>11.90010207509021</v>
      </c>
      <c r="R15" s="65">
        <v>40.377080896188389</v>
      </c>
    </row>
    <row r="16" spans="1:18" x14ac:dyDescent="0.25">
      <c r="A16" t="s">
        <v>3</v>
      </c>
      <c r="B16" t="s">
        <v>6</v>
      </c>
      <c r="C16" t="s">
        <v>11</v>
      </c>
      <c r="D16" t="s">
        <v>15</v>
      </c>
      <c r="E16">
        <f>'Local Fitting A'!P16</f>
        <v>6.1194726241620367E-2</v>
      </c>
      <c r="F16" s="65">
        <f>E16*Marginals!$B$3</f>
        <v>4.8955780993296294</v>
      </c>
      <c r="L16" t="s">
        <v>62</v>
      </c>
      <c r="O16" s="65">
        <v>45.568920885486655</v>
      </c>
      <c r="P16" s="65">
        <v>39.435721902559642</v>
      </c>
      <c r="Q16" s="65">
        <v>48.999065280528995</v>
      </c>
      <c r="R16" s="65">
        <v>134.00370806857529</v>
      </c>
    </row>
    <row r="17" spans="1:18" x14ac:dyDescent="0.25">
      <c r="A17" t="s">
        <v>3</v>
      </c>
      <c r="B17" t="s">
        <v>6</v>
      </c>
      <c r="C17" t="s">
        <v>11</v>
      </c>
      <c r="D17" t="s">
        <v>16</v>
      </c>
      <c r="E17">
        <f>'Local Fitting A'!P17</f>
        <v>6.7051493088583769E-2</v>
      </c>
      <c r="F17" s="65">
        <f>E17*Marginals!$B$3</f>
        <v>5.3641194470867015</v>
      </c>
      <c r="L17" t="s">
        <v>6</v>
      </c>
      <c r="M17" t="s">
        <v>10</v>
      </c>
      <c r="N17" t="s">
        <v>15</v>
      </c>
      <c r="O17" s="65">
        <v>3.9688573384528874</v>
      </c>
      <c r="P17" s="65">
        <v>5.105113670573755</v>
      </c>
      <c r="Q17" s="65">
        <v>5.9887899141978522</v>
      </c>
      <c r="R17" s="65">
        <v>15.062760923224495</v>
      </c>
    </row>
    <row r="18" spans="1:18" x14ac:dyDescent="0.25">
      <c r="A18" t="s">
        <v>3</v>
      </c>
      <c r="B18" t="s">
        <v>6</v>
      </c>
      <c r="C18" t="s">
        <v>12</v>
      </c>
      <c r="D18" t="s">
        <v>14</v>
      </c>
      <c r="E18">
        <f>'Local Fitting A'!P18</f>
        <v>1.7063787109951593E-2</v>
      </c>
      <c r="F18" s="65">
        <f>E18*Marginals!$B$3</f>
        <v>1.3651029687961276</v>
      </c>
      <c r="N18" t="s">
        <v>14</v>
      </c>
      <c r="O18" s="65">
        <v>2.4489085654746279</v>
      </c>
      <c r="P18" s="65">
        <v>2.780429166945118</v>
      </c>
      <c r="Q18" s="65">
        <v>3.5003695698054464</v>
      </c>
      <c r="R18" s="65">
        <v>8.7297073022251919</v>
      </c>
    </row>
    <row r="19" spans="1:18" x14ac:dyDescent="0.25">
      <c r="A19" t="s">
        <v>3</v>
      </c>
      <c r="B19" t="s">
        <v>6</v>
      </c>
      <c r="C19" t="s">
        <v>12</v>
      </c>
      <c r="D19" t="s">
        <v>15</v>
      </c>
      <c r="E19">
        <f>'Local Fitting A'!P19</f>
        <v>5.2410770419798108E-2</v>
      </c>
      <c r="F19" s="65">
        <f>E19*Marginals!$B$3</f>
        <v>4.1928616335838491</v>
      </c>
      <c r="N19" t="s">
        <v>16</v>
      </c>
      <c r="O19" s="65">
        <v>3.4741247356706544</v>
      </c>
      <c r="P19" s="65">
        <v>4.4290495216380474</v>
      </c>
      <c r="Q19" s="65">
        <v>4.9755024314716545</v>
      </c>
      <c r="R19" s="65">
        <v>12.878676688780356</v>
      </c>
    </row>
    <row r="20" spans="1:18" x14ac:dyDescent="0.25">
      <c r="A20" t="s">
        <v>3</v>
      </c>
      <c r="B20" t="s">
        <v>6</v>
      </c>
      <c r="C20" t="s">
        <v>12</v>
      </c>
      <c r="D20" t="s">
        <v>16</v>
      </c>
      <c r="E20">
        <f>'Local Fitting A'!P20</f>
        <v>8.2785520703375817E-2</v>
      </c>
      <c r="F20" s="65">
        <f>E20*Marginals!$B$3</f>
        <v>6.6228416562700652</v>
      </c>
      <c r="M20" t="s">
        <v>61</v>
      </c>
      <c r="O20" s="65">
        <v>9.8918906395981701</v>
      </c>
      <c r="P20" s="65">
        <v>12.31459235915692</v>
      </c>
      <c r="Q20" s="65">
        <v>14.464661915474952</v>
      </c>
      <c r="R20" s="65">
        <v>36.671144914230041</v>
      </c>
    </row>
    <row r="21" spans="1:18" x14ac:dyDescent="0.25">
      <c r="A21" t="s">
        <v>1</v>
      </c>
      <c r="B21" t="s">
        <v>5</v>
      </c>
      <c r="C21" t="s">
        <v>10</v>
      </c>
      <c r="D21" t="s">
        <v>14</v>
      </c>
      <c r="E21">
        <f>'Local Fitting B'!P3</f>
        <v>5.4224345476209593E-2</v>
      </c>
      <c r="F21" s="65">
        <f>E21*Marginals!$B$4</f>
        <v>3.7957041833346716</v>
      </c>
      <c r="M21" t="s">
        <v>11</v>
      </c>
      <c r="N21" t="s">
        <v>15</v>
      </c>
      <c r="O21" s="65">
        <v>4.8955780993296294</v>
      </c>
      <c r="P21" s="65">
        <v>4.0199794141734531</v>
      </c>
      <c r="Q21" s="65">
        <v>5.1803628110618236</v>
      </c>
      <c r="R21" s="65">
        <v>14.095920324564904</v>
      </c>
    </row>
    <row r="22" spans="1:18" x14ac:dyDescent="0.25">
      <c r="A22" t="s">
        <v>1</v>
      </c>
      <c r="B22" t="s">
        <v>5</v>
      </c>
      <c r="C22" t="s">
        <v>10</v>
      </c>
      <c r="D22" t="s">
        <v>15</v>
      </c>
      <c r="E22">
        <f>'Local Fitting B'!P4</f>
        <v>7.2956006480103003E-2</v>
      </c>
      <c r="F22" s="65">
        <f>E22*Marginals!$B$4</f>
        <v>5.1069204536072101</v>
      </c>
      <c r="N22" t="s">
        <v>14</v>
      </c>
      <c r="O22" s="65">
        <v>2.0986846698487951</v>
      </c>
      <c r="P22" s="65">
        <v>1.5211301456700452</v>
      </c>
      <c r="Q22" s="65">
        <v>2.1036385620305063</v>
      </c>
      <c r="R22" s="65">
        <v>5.7234533775493466</v>
      </c>
    </row>
    <row r="23" spans="1:18" x14ac:dyDescent="0.25">
      <c r="A23" t="s">
        <v>1</v>
      </c>
      <c r="B23" t="s">
        <v>5</v>
      </c>
      <c r="C23" t="s">
        <v>10</v>
      </c>
      <c r="D23" t="s">
        <v>16</v>
      </c>
      <c r="E23">
        <f>'Local Fitting B'!P5</f>
        <v>5.4033988858301955E-2</v>
      </c>
      <c r="F23" s="65">
        <f>E23*Marginals!$B$4</f>
        <v>3.782379220081137</v>
      </c>
      <c r="N23" t="s">
        <v>16</v>
      </c>
      <c r="O23" s="65">
        <v>5.3641194470867015</v>
      </c>
      <c r="P23" s="65">
        <v>4.3655954340766145</v>
      </c>
      <c r="Q23" s="65">
        <v>5.387317597757475</v>
      </c>
      <c r="R23" s="65">
        <v>15.117032478920791</v>
      </c>
    </row>
    <row r="24" spans="1:18" x14ac:dyDescent="0.25">
      <c r="A24" t="s">
        <v>1</v>
      </c>
      <c r="B24" t="s">
        <v>5</v>
      </c>
      <c r="C24" t="s">
        <v>11</v>
      </c>
      <c r="D24" t="s">
        <v>14</v>
      </c>
      <c r="E24">
        <f>'Local Fitting B'!P6</f>
        <v>4.5566892670621348E-2</v>
      </c>
      <c r="F24" s="65">
        <f>E24*Marginals!$B$4</f>
        <v>3.1896824869434943</v>
      </c>
      <c r="M24" t="s">
        <v>59</v>
      </c>
      <c r="O24" s="65">
        <v>12.358382216265127</v>
      </c>
      <c r="P24" s="65">
        <v>9.9067049939201119</v>
      </c>
      <c r="Q24" s="65">
        <v>12.671318970849805</v>
      </c>
      <c r="R24" s="65">
        <v>34.936406181035039</v>
      </c>
    </row>
    <row r="25" spans="1:18" x14ac:dyDescent="0.25">
      <c r="A25" t="s">
        <v>1</v>
      </c>
      <c r="B25" t="s">
        <v>5</v>
      </c>
      <c r="C25" t="s">
        <v>11</v>
      </c>
      <c r="D25" t="s">
        <v>15</v>
      </c>
      <c r="E25">
        <f>'Local Fitting B'!P7</f>
        <v>8.8242951072784598E-2</v>
      </c>
      <c r="F25" s="65">
        <f>E25*Marginals!$B$4</f>
        <v>6.1770065750949215</v>
      </c>
      <c r="M25" t="s">
        <v>12</v>
      </c>
      <c r="N25" t="s">
        <v>15</v>
      </c>
      <c r="O25" s="65">
        <v>4.1928616335838491</v>
      </c>
      <c r="P25" s="65">
        <v>2.9243859920135251</v>
      </c>
      <c r="Q25" s="65">
        <v>2.8013295068170594</v>
      </c>
      <c r="R25" s="65">
        <v>9.9185771324144341</v>
      </c>
    </row>
    <row r="26" spans="1:18" x14ac:dyDescent="0.25">
      <c r="A26" t="s">
        <v>1</v>
      </c>
      <c r="B26" t="s">
        <v>5</v>
      </c>
      <c r="C26" t="s">
        <v>11</v>
      </c>
      <c r="D26" t="s">
        <v>16</v>
      </c>
      <c r="E26">
        <f>'Local Fitting B'!P8</f>
        <v>8.1808896957375851E-2</v>
      </c>
      <c r="F26" s="65">
        <f>E26*Marginals!$B$4</f>
        <v>5.7266227870163098</v>
      </c>
      <c r="N26" t="s">
        <v>14</v>
      </c>
      <c r="O26" s="65">
        <v>1.3651029687961276</v>
      </c>
      <c r="P26" s="65">
        <v>0.84040555155699259</v>
      </c>
      <c r="Q26" s="65">
        <v>0.86394643253501879</v>
      </c>
      <c r="R26" s="65">
        <v>3.069454952888139</v>
      </c>
    </row>
    <row r="27" spans="1:18" x14ac:dyDescent="0.25">
      <c r="A27" t="s">
        <v>1</v>
      </c>
      <c r="B27" t="s">
        <v>5</v>
      </c>
      <c r="C27" t="s">
        <v>12</v>
      </c>
      <c r="D27" t="s">
        <v>14</v>
      </c>
      <c r="E27">
        <f>'Local Fitting B'!P9</f>
        <v>2.3935219527973284E-2</v>
      </c>
      <c r="F27" s="65">
        <f>E27*Marginals!$B$4</f>
        <v>1.6754653669581299</v>
      </c>
      <c r="N27" t="s">
        <v>16</v>
      </c>
      <c r="O27" s="65">
        <v>6.6228416562700652</v>
      </c>
      <c r="P27" s="65">
        <v>4.5781892007928127</v>
      </c>
      <c r="Q27" s="65">
        <v>4.1996778937941723</v>
      </c>
      <c r="R27" s="65">
        <v>15.400708750857051</v>
      </c>
    </row>
    <row r="28" spans="1:18" x14ac:dyDescent="0.25">
      <c r="A28" t="s">
        <v>1</v>
      </c>
      <c r="B28" t="s">
        <v>5</v>
      </c>
      <c r="C28" t="s">
        <v>12</v>
      </c>
      <c r="D28" t="s">
        <v>15</v>
      </c>
      <c r="E28">
        <f>'Local Fitting B'!P10</f>
        <v>6.1031824247914777E-2</v>
      </c>
      <c r="F28" s="65">
        <f>E28*Marginals!$B$4</f>
        <v>4.2722276973540341</v>
      </c>
      <c r="M28" t="s">
        <v>60</v>
      </c>
      <c r="O28" s="65">
        <v>12.180806258650042</v>
      </c>
      <c r="P28" s="65">
        <v>8.3429807443633308</v>
      </c>
      <c r="Q28" s="65">
        <v>7.8649538331462505</v>
      </c>
      <c r="R28" s="65">
        <v>28.388740836159624</v>
      </c>
    </row>
    <row r="29" spans="1:18" x14ac:dyDescent="0.25">
      <c r="A29" t="s">
        <v>1</v>
      </c>
      <c r="B29" t="s">
        <v>5</v>
      </c>
      <c r="C29" t="s">
        <v>12</v>
      </c>
      <c r="D29" t="s">
        <v>16</v>
      </c>
      <c r="E29">
        <f>'Local Fitting B'!P11</f>
        <v>8.1567330459567572E-2</v>
      </c>
      <c r="F29" s="65">
        <f>E29*Marginals!$B$4</f>
        <v>5.7097131321697301</v>
      </c>
      <c r="L29" t="s">
        <v>63</v>
      </c>
      <c r="O29" s="65">
        <v>34.431079114513338</v>
      </c>
      <c r="P29" s="65">
        <v>30.564278097440365</v>
      </c>
      <c r="Q29" s="65">
        <v>35.000934719471012</v>
      </c>
      <c r="R29" s="65">
        <v>99.996291931424707</v>
      </c>
    </row>
    <row r="30" spans="1:18" x14ac:dyDescent="0.25">
      <c r="A30" t="s">
        <v>1</v>
      </c>
      <c r="B30" t="s">
        <v>6</v>
      </c>
      <c r="C30" t="s">
        <v>10</v>
      </c>
      <c r="D30" t="s">
        <v>14</v>
      </c>
      <c r="E30">
        <f>'Local Fitting B'!P12</f>
        <v>3.9720416670644541E-2</v>
      </c>
      <c r="F30" s="65">
        <f>E30*Marginals!$B$4</f>
        <v>2.780429166945118</v>
      </c>
      <c r="L30" t="s">
        <v>57</v>
      </c>
      <c r="O30" s="65">
        <v>79.999999999999986</v>
      </c>
      <c r="P30" s="65">
        <v>70.000000000000014</v>
      </c>
      <c r="Q30" s="65">
        <v>84</v>
      </c>
      <c r="R30" s="65">
        <v>234.00000000000003</v>
      </c>
    </row>
    <row r="31" spans="1:18" x14ac:dyDescent="0.25">
      <c r="A31" t="s">
        <v>1</v>
      </c>
      <c r="B31" t="s">
        <v>6</v>
      </c>
      <c r="C31" t="s">
        <v>10</v>
      </c>
      <c r="D31" t="s">
        <v>15</v>
      </c>
      <c r="E31">
        <f>'Local Fitting B'!P13</f>
        <v>7.2930195293910788E-2</v>
      </c>
      <c r="F31" s="65">
        <f>E31*Marginals!$B$4</f>
        <v>5.105113670573755</v>
      </c>
    </row>
    <row r="32" spans="1:18" x14ac:dyDescent="0.25">
      <c r="A32" t="s">
        <v>1</v>
      </c>
      <c r="B32" t="s">
        <v>6</v>
      </c>
      <c r="C32" t="s">
        <v>10</v>
      </c>
      <c r="D32" t="s">
        <v>16</v>
      </c>
      <c r="E32">
        <f>'Local Fitting B'!P14</f>
        <v>6.3272136023400677E-2</v>
      </c>
      <c r="F32" s="65">
        <f>E32*Marginals!$B$4</f>
        <v>4.4290495216380474</v>
      </c>
    </row>
    <row r="33" spans="1:6" x14ac:dyDescent="0.25">
      <c r="A33" t="s">
        <v>1</v>
      </c>
      <c r="B33" t="s">
        <v>6</v>
      </c>
      <c r="C33" t="s">
        <v>11</v>
      </c>
      <c r="D33" t="s">
        <v>14</v>
      </c>
      <c r="E33">
        <f>'Local Fitting B'!P15</f>
        <v>2.1730430652429217E-2</v>
      </c>
      <c r="F33" s="65">
        <f>E33*Marginals!$B$4</f>
        <v>1.5211301456700452</v>
      </c>
    </row>
    <row r="34" spans="1:6" x14ac:dyDescent="0.25">
      <c r="A34" t="s">
        <v>1</v>
      </c>
      <c r="B34" t="s">
        <v>6</v>
      </c>
      <c r="C34" t="s">
        <v>11</v>
      </c>
      <c r="D34" t="s">
        <v>15</v>
      </c>
      <c r="E34">
        <f>'Local Fitting B'!P16</f>
        <v>5.7428277345335038E-2</v>
      </c>
      <c r="F34" s="65">
        <f>E34*Marginals!$B$4</f>
        <v>4.0199794141734531</v>
      </c>
    </row>
    <row r="35" spans="1:6" x14ac:dyDescent="0.25">
      <c r="A35" t="s">
        <v>1</v>
      </c>
      <c r="B35" t="s">
        <v>6</v>
      </c>
      <c r="C35" t="s">
        <v>11</v>
      </c>
      <c r="D35" t="s">
        <v>16</v>
      </c>
      <c r="E35">
        <f>'Local Fitting B'!P17</f>
        <v>6.2365649058237355E-2</v>
      </c>
      <c r="F35" s="65">
        <f>E35*Marginals!$B$4</f>
        <v>4.3655954340766145</v>
      </c>
    </row>
    <row r="36" spans="1:6" x14ac:dyDescent="0.25">
      <c r="A36" t="s">
        <v>1</v>
      </c>
      <c r="B36" t="s">
        <v>6</v>
      </c>
      <c r="C36" t="s">
        <v>12</v>
      </c>
      <c r="D36" t="s">
        <v>14</v>
      </c>
      <c r="E36">
        <f>'Local Fitting B'!P18</f>
        <v>1.2005793593671323E-2</v>
      </c>
      <c r="F36" s="65">
        <f>E36*Marginals!$B$4</f>
        <v>0.84040555155699259</v>
      </c>
    </row>
    <row r="37" spans="1:6" x14ac:dyDescent="0.25">
      <c r="A37" t="s">
        <v>1</v>
      </c>
      <c r="B37" t="s">
        <v>6</v>
      </c>
      <c r="C37" t="s">
        <v>12</v>
      </c>
      <c r="D37" t="s">
        <v>15</v>
      </c>
      <c r="E37">
        <f>'Local Fitting B'!P19</f>
        <v>4.1776942743050362E-2</v>
      </c>
      <c r="F37" s="65">
        <f>E37*Marginals!$B$4</f>
        <v>2.9243859920135251</v>
      </c>
    </row>
    <row r="38" spans="1:6" x14ac:dyDescent="0.25">
      <c r="A38" t="s">
        <v>1</v>
      </c>
      <c r="B38" t="s">
        <v>6</v>
      </c>
      <c r="C38" t="s">
        <v>12</v>
      </c>
      <c r="D38" t="s">
        <v>16</v>
      </c>
      <c r="E38">
        <f>'Local Fitting B'!P20</f>
        <v>6.5402702868468748E-2</v>
      </c>
      <c r="F38" s="65">
        <f>E38*Marginals!$B$4</f>
        <v>4.5781892007928127</v>
      </c>
    </row>
    <row r="39" spans="1:6" x14ac:dyDescent="0.25">
      <c r="A39" t="s">
        <v>2</v>
      </c>
      <c r="B39" t="s">
        <v>5</v>
      </c>
      <c r="C39" t="s">
        <v>10</v>
      </c>
      <c r="D39" t="s">
        <v>14</v>
      </c>
      <c r="E39">
        <f>'Local Fitting C'!P3</f>
        <v>6.1249871873164691E-2</v>
      </c>
      <c r="F39" s="65">
        <f>E39*Marginals!$B$5</f>
        <v>5.1449892373458344</v>
      </c>
    </row>
    <row r="40" spans="1:6" x14ac:dyDescent="0.25">
      <c r="A40" t="s">
        <v>2</v>
      </c>
      <c r="B40" t="s">
        <v>5</v>
      </c>
      <c r="C40" t="s">
        <v>10</v>
      </c>
      <c r="D40" t="s">
        <v>15</v>
      </c>
      <c r="E40">
        <f>'Local Fitting C'!P4</f>
        <v>7.6789796574063096E-2</v>
      </c>
      <c r="F40" s="65">
        <f>E40*Marginals!$B$5</f>
        <v>6.4503429122213003</v>
      </c>
    </row>
    <row r="41" spans="1:6" x14ac:dyDescent="0.25">
      <c r="A41" t="s">
        <v>2</v>
      </c>
      <c r="B41" t="s">
        <v>5</v>
      </c>
      <c r="C41" t="s">
        <v>10</v>
      </c>
      <c r="D41" t="s">
        <v>16</v>
      </c>
      <c r="E41">
        <f>'Local Fitting C'!P5</f>
        <v>5.4463084963314319E-2</v>
      </c>
      <c r="F41" s="65">
        <f>E41*Marginals!$B$5</f>
        <v>4.5748991369184031</v>
      </c>
    </row>
    <row r="42" spans="1:6" x14ac:dyDescent="0.25">
      <c r="A42" t="s">
        <v>2</v>
      </c>
      <c r="B42" t="s">
        <v>5</v>
      </c>
      <c r="C42" t="s">
        <v>11</v>
      </c>
      <c r="D42" t="s">
        <v>14</v>
      </c>
      <c r="E42">
        <f>'Local Fitting C'!P6</f>
        <v>5.6540932391818163E-2</v>
      </c>
      <c r="F42" s="65">
        <f>E42*Marginals!$B$5</f>
        <v>4.7494383209127253</v>
      </c>
    </row>
    <row r="43" spans="1:6" x14ac:dyDescent="0.25">
      <c r="A43" t="s">
        <v>2</v>
      </c>
      <c r="B43" t="s">
        <v>5</v>
      </c>
      <c r="C43" t="s">
        <v>11</v>
      </c>
      <c r="D43" t="s">
        <v>15</v>
      </c>
      <c r="E43">
        <f>'Local Fitting C'!P7</f>
        <v>0.10202936259314514</v>
      </c>
      <c r="F43" s="65">
        <f>E43*Marginals!$B$5</f>
        <v>8.5704664578241925</v>
      </c>
    </row>
    <row r="44" spans="1:6" x14ac:dyDescent="0.25">
      <c r="A44" t="s">
        <v>2</v>
      </c>
      <c r="B44" t="s">
        <v>5</v>
      </c>
      <c r="C44" t="s">
        <v>11</v>
      </c>
      <c r="D44" t="s">
        <v>16</v>
      </c>
      <c r="E44">
        <f>'Local Fitting C'!P8</f>
        <v>9.0581275478765766E-2</v>
      </c>
      <c r="F44" s="65">
        <f>E44*Marginals!$B$5</f>
        <v>7.6088271402163246</v>
      </c>
    </row>
    <row r="45" spans="1:6" x14ac:dyDescent="0.25">
      <c r="A45" t="s">
        <v>2</v>
      </c>
      <c r="B45" t="s">
        <v>5</v>
      </c>
      <c r="C45" t="s">
        <v>12</v>
      </c>
      <c r="D45" t="s">
        <v>14</v>
      </c>
      <c r="E45">
        <f>'Local Fitting C'!P9</f>
        <v>2.2077206514880814E-2</v>
      </c>
      <c r="F45" s="65">
        <f>E45*Marginals!$B$5</f>
        <v>1.8544853472499883</v>
      </c>
    </row>
    <row r="46" spans="1:6" x14ac:dyDescent="0.25">
      <c r="A46" t="s">
        <v>2</v>
      </c>
      <c r="B46" t="s">
        <v>5</v>
      </c>
      <c r="C46" t="s">
        <v>12</v>
      </c>
      <c r="D46" t="s">
        <v>15</v>
      </c>
      <c r="E46">
        <f>'Local Fitting C'!P10</f>
        <v>5.2455937610994707E-2</v>
      </c>
      <c r="F46" s="65">
        <f>E46*Marginals!$B$5</f>
        <v>4.4062987593235556</v>
      </c>
    </row>
    <row r="47" spans="1:6" x14ac:dyDescent="0.25">
      <c r="A47" t="s">
        <v>2</v>
      </c>
      <c r="B47" t="s">
        <v>5</v>
      </c>
      <c r="C47" t="s">
        <v>12</v>
      </c>
      <c r="D47" t="s">
        <v>16</v>
      </c>
      <c r="E47">
        <f>'Local Fitting C'!P11</f>
        <v>6.7134737720436502E-2</v>
      </c>
      <c r="F47" s="65">
        <f>E47*Marginals!$B$5</f>
        <v>5.6393179685166661</v>
      </c>
    </row>
    <row r="48" spans="1:6" x14ac:dyDescent="0.25">
      <c r="A48" t="s">
        <v>2</v>
      </c>
      <c r="B48" t="s">
        <v>6</v>
      </c>
      <c r="C48" t="s">
        <v>10</v>
      </c>
      <c r="D48" t="s">
        <v>14</v>
      </c>
      <c r="E48">
        <f>'Local Fitting C'!P12</f>
        <v>4.1671066307207696E-2</v>
      </c>
      <c r="F48" s="65">
        <f>E48*Marginals!$B$5</f>
        <v>3.5003695698054464</v>
      </c>
    </row>
    <row r="49" spans="1:6" x14ac:dyDescent="0.25">
      <c r="A49" t="s">
        <v>2</v>
      </c>
      <c r="B49" t="s">
        <v>6</v>
      </c>
      <c r="C49" t="s">
        <v>10</v>
      </c>
      <c r="D49" t="s">
        <v>15</v>
      </c>
      <c r="E49">
        <f>'Local Fitting C'!P13</f>
        <v>7.1295118026164908E-2</v>
      </c>
      <c r="F49" s="65">
        <f>E49*Marginals!$B$5</f>
        <v>5.9887899141978522</v>
      </c>
    </row>
    <row r="50" spans="1:6" x14ac:dyDescent="0.25">
      <c r="A50" t="s">
        <v>2</v>
      </c>
      <c r="B50" t="s">
        <v>6</v>
      </c>
      <c r="C50" t="s">
        <v>10</v>
      </c>
      <c r="D50" t="s">
        <v>16</v>
      </c>
      <c r="E50">
        <f>'Local Fitting C'!P14</f>
        <v>5.9232171803233986E-2</v>
      </c>
      <c r="F50" s="65">
        <f>E50*Marginals!$B$5</f>
        <v>4.9755024314716545</v>
      </c>
    </row>
    <row r="51" spans="1:6" x14ac:dyDescent="0.25">
      <c r="A51" t="s">
        <v>2</v>
      </c>
      <c r="B51" t="s">
        <v>6</v>
      </c>
      <c r="C51" t="s">
        <v>11</v>
      </c>
      <c r="D51" t="s">
        <v>14</v>
      </c>
      <c r="E51">
        <f>'Local Fitting C'!P15</f>
        <v>2.5043316214648881E-2</v>
      </c>
      <c r="F51" s="65">
        <f>E51*Marginals!$B$5</f>
        <v>2.1036385620305063</v>
      </c>
    </row>
    <row r="52" spans="1:6" x14ac:dyDescent="0.25">
      <c r="A52" t="s">
        <v>2</v>
      </c>
      <c r="B52" t="s">
        <v>6</v>
      </c>
      <c r="C52" t="s">
        <v>11</v>
      </c>
      <c r="D52" t="s">
        <v>15</v>
      </c>
      <c r="E52">
        <f>'Local Fitting C'!P16</f>
        <v>6.1670985845974087E-2</v>
      </c>
      <c r="F52" s="65">
        <f>E52*Marginals!$B$5</f>
        <v>5.1803628110618236</v>
      </c>
    </row>
    <row r="53" spans="1:6" x14ac:dyDescent="0.25">
      <c r="A53" t="s">
        <v>2</v>
      </c>
      <c r="B53" t="s">
        <v>6</v>
      </c>
      <c r="C53" t="s">
        <v>11</v>
      </c>
      <c r="D53" t="s">
        <v>16</v>
      </c>
      <c r="E53">
        <f>'Local Fitting C'!P17</f>
        <v>6.4134733306636604E-2</v>
      </c>
      <c r="F53" s="65">
        <f>E53*Marginals!$B$5</f>
        <v>5.387317597757475</v>
      </c>
    </row>
    <row r="54" spans="1:6" x14ac:dyDescent="0.25">
      <c r="A54" t="s">
        <v>2</v>
      </c>
      <c r="B54" t="s">
        <v>6</v>
      </c>
      <c r="C54" t="s">
        <v>12</v>
      </c>
      <c r="D54" t="s">
        <v>14</v>
      </c>
      <c r="E54">
        <f>'Local Fitting C'!P18</f>
        <v>1.0285076577797843E-2</v>
      </c>
      <c r="F54" s="65">
        <f>E54*Marginals!$B$5</f>
        <v>0.86394643253501879</v>
      </c>
    </row>
    <row r="55" spans="1:6" x14ac:dyDescent="0.25">
      <c r="A55" t="s">
        <v>2</v>
      </c>
      <c r="B55" t="s">
        <v>6</v>
      </c>
      <c r="C55" t="s">
        <v>12</v>
      </c>
      <c r="D55" t="s">
        <v>15</v>
      </c>
      <c r="E55">
        <f>'Local Fitting C'!P19</f>
        <v>3.3349160795441181E-2</v>
      </c>
      <c r="F55" s="65">
        <f>E55*Marginals!$B$5</f>
        <v>2.8013295068170594</v>
      </c>
    </row>
    <row r="56" spans="1:6" x14ac:dyDescent="0.25">
      <c r="A56" t="s">
        <v>2</v>
      </c>
      <c r="B56" t="s">
        <v>6</v>
      </c>
      <c r="C56" t="s">
        <v>12</v>
      </c>
      <c r="D56" t="s">
        <v>16</v>
      </c>
      <c r="E56">
        <f>'Local Fitting C'!P20</f>
        <v>4.9996165402311575E-2</v>
      </c>
      <c r="F56" s="65">
        <f>E56*Marginals!$B$5</f>
        <v>4.1996778937941723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Marginals</vt:lpstr>
      <vt:lpstr>Constraints</vt:lpstr>
      <vt:lpstr>National Fitting</vt:lpstr>
      <vt:lpstr>Local Fitting A</vt:lpstr>
      <vt:lpstr>Local Fitting B</vt:lpstr>
      <vt:lpstr>Local Fitting C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2026-08-12T09:38:02Z</dcterms:created>
  <dcterms:modified xsi:type="dcterms:W3CDTF">2026-08-12T17:09:43Z</dcterms:modified>
</cp:coreProperties>
</file>